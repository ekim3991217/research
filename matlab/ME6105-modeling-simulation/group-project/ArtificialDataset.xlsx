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snair322_gatech_edu/Documents/6105 modeling &amp; simulation/Final Project/"/>
    </mc:Choice>
  </mc:AlternateContent>
  <xr:revisionPtr revIDLastSave="436" documentId="8_{E976B609-D17C-4AB8-81F3-65D041EDB3BD}" xr6:coauthVersionLast="47" xr6:coauthVersionMax="47" xr10:uidLastSave="{0ED6D568-CE09-45CC-8129-762A79880FB6}"/>
  <bookViews>
    <workbookView xWindow="-110" yWindow="-110" windowWidth="25820" windowHeight="15500" xr2:uid="{73315F43-5326-403F-96FF-42A036243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1" l="1"/>
  <c r="E9" i="1"/>
  <c r="F101" i="1"/>
  <c r="G108" i="1"/>
  <c r="E2" i="1"/>
  <c r="F2" i="1" s="1"/>
  <c r="J105" i="1"/>
  <c r="J107" i="1" s="1"/>
  <c r="H105" i="1"/>
  <c r="H107" i="1" s="1"/>
  <c r="I105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3" i="1"/>
  <c r="J4" i="1"/>
  <c r="J5" i="1"/>
  <c r="J6" i="1"/>
  <c r="J7" i="1"/>
  <c r="J8" i="1"/>
  <c r="J9" i="1"/>
  <c r="J10" i="1"/>
  <c r="J11" i="1"/>
  <c r="J12" i="1"/>
  <c r="J2" i="1"/>
  <c r="G10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G107" i="1"/>
  <c r="I10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3" i="1"/>
  <c r="E4" i="1"/>
  <c r="E5" i="1"/>
  <c r="E6" i="1"/>
  <c r="E7" i="1"/>
  <c r="E8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5" i="1" l="1"/>
  <c r="F105" i="1" s="1"/>
  <c r="F107" i="1" s="1"/>
  <c r="I108" i="1"/>
  <c r="E107" i="1" l="1"/>
  <c r="E108" i="1"/>
</calcChain>
</file>

<file path=xl/sharedStrings.xml><?xml version="1.0" encoding="utf-8"?>
<sst xmlns="http://schemas.openxmlformats.org/spreadsheetml/2006/main" count="33" uniqueCount="26">
  <si>
    <t>delta_m</t>
  </si>
  <si>
    <t>theta_radian</t>
  </si>
  <si>
    <t>l_m</t>
  </si>
  <si>
    <t xml:space="preserve">R^2 </t>
  </si>
  <si>
    <t>DoF</t>
  </si>
  <si>
    <t>Regression</t>
  </si>
  <si>
    <t>Residual</t>
  </si>
  <si>
    <t>Total</t>
  </si>
  <si>
    <t>Common regression</t>
  </si>
  <si>
    <t>Ridge regression</t>
  </si>
  <si>
    <t>Lasso regression</t>
  </si>
  <si>
    <t>SSr</t>
  </si>
  <si>
    <t>Sse</t>
  </si>
  <si>
    <t>SSe</t>
  </si>
  <si>
    <t>SSt</t>
  </si>
  <si>
    <t>Sum of Squares</t>
  </si>
  <si>
    <t>Mean Square</t>
  </si>
  <si>
    <t>Fo</t>
  </si>
  <si>
    <t>F𝛼</t>
  </si>
  <si>
    <t>sigma_pred_common</t>
  </si>
  <si>
    <t>Common_SSr</t>
  </si>
  <si>
    <t>Ridge_SSr</t>
  </si>
  <si>
    <t>Lasso_SSr</t>
  </si>
  <si>
    <t>sigma_pred_ridge</t>
  </si>
  <si>
    <t>sigma_pred_lasso</t>
  </si>
  <si>
    <t>sigma_x_calculated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</si>
</sst>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498A-E8F8-41E9-874C-88FA89C482C2}">
  <dimension ref="A1:J118"/>
  <sheetViews>
    <sheetView tabSelected="1" topLeftCell="A91" zoomScaleNormal="100" workbookViewId="0">
      <selection activeCell="I117" sqref="I117"/>
    </sheetView>
  </sheetViews>
  <sheetFormatPr defaultColWidth="8.81640625" defaultRowHeight="14.5" x14ac:dyDescent="0.35"/>
  <cols>
    <col min="1" max="2" width="12" bestFit="1" customWidth="1"/>
    <col min="3" max="3" width="12.1796875" bestFit="1" customWidth="1"/>
    <col min="4" max="4" width="22" bestFit="1" customWidth="1"/>
    <col min="5" max="5" width="19.36328125" customWidth="1"/>
    <col min="6" max="6" width="20.36328125" customWidth="1"/>
    <col min="7" max="7" width="20.1796875" bestFit="1" customWidth="1"/>
    <col min="8" max="8" width="20.1796875" customWidth="1"/>
    <col min="9" max="9" width="20.36328125" bestFit="1" customWidth="1"/>
    <col min="10" max="10" width="19.6328125" bestFit="1" customWidth="1"/>
    <col min="11" max="11" width="18.36328125" bestFit="1" customWidth="1"/>
    <col min="12" max="12" width="12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25</v>
      </c>
      <c r="E1" s="1" t="s">
        <v>19</v>
      </c>
      <c r="F1" s="1" t="s">
        <v>20</v>
      </c>
      <c r="G1" s="1" t="s">
        <v>23</v>
      </c>
      <c r="H1" s="1" t="s">
        <v>21</v>
      </c>
      <c r="I1" s="1" t="s">
        <v>24</v>
      </c>
      <c r="J1" s="1" t="s">
        <v>22</v>
      </c>
    </row>
    <row r="2" spans="1:10" x14ac:dyDescent="0.35">
      <c r="A2">
        <v>1.7285459912145902E-4</v>
      </c>
      <c r="B2">
        <v>6.0097854395611203E-2</v>
      </c>
      <c r="C2">
        <v>2.5779602815906798E-4</v>
      </c>
      <c r="D2">
        <v>205.1270355687731</v>
      </c>
      <c r="E2">
        <f>627.7699 + (615.6452*A2) + (468.2088*B2) + ((-52.3036)*C2)</f>
        <v>656.00117773305249</v>
      </c>
      <c r="F2">
        <f>E2^2</f>
        <v>430337.54518715193</v>
      </c>
      <c r="G2">
        <f xml:space="preserve"> 627.7699 + (608.9238*A2) + (463.0313*B2) + ((-52.9523)*C2)</f>
        <v>655.68869203473321</v>
      </c>
      <c r="H2">
        <f>G2^2</f>
        <v>429927.66086221923</v>
      </c>
      <c r="I2">
        <f xml:space="preserve"> 627.7699 + (615.5558*A2) + (468.0947*B2) + ((-52.2157)*C2)</f>
        <v>655.99432777493564</v>
      </c>
      <c r="J2">
        <f>I2^2</f>
        <v>430328.55807288969</v>
      </c>
    </row>
    <row r="3" spans="1:10" x14ac:dyDescent="0.35">
      <c r="A3">
        <v>2.4463080074516898E-4</v>
      </c>
      <c r="B3">
        <v>0.10909114070737699</v>
      </c>
      <c r="C3">
        <v>2.14425585820233E-4</v>
      </c>
      <c r="D3">
        <v>1193.3866222956224</v>
      </c>
      <c r="E3">
        <f t="shared" ref="E3:E66" si="0">627.7699 + (615.6452*A3) + (468.2088*B3) + ((-52.3036)*C3)</f>
        <v>678.9867226294125</v>
      </c>
      <c r="F3">
        <f t="shared" ref="F3:F66" si="1">E3^2</f>
        <v>461022.96950703074</v>
      </c>
      <c r="G3">
        <f t="shared" ref="G3:G66" si="2" xml:space="preserve"> 627.7699 + (608.9238*A3) + (463.0313*B3) + ((-52.9523)*C3)</f>
        <v>678.42011988905847</v>
      </c>
      <c r="H3">
        <f t="shared" ref="H3:H66" si="3">G3^2</f>
        <v>460253.85907028447</v>
      </c>
      <c r="I3">
        <f t="shared" ref="I3:I66" si="4" xml:space="preserve"> 627.7699 + (615.5558*A3) + (468.0947*B3) + ((-52.2157)*C3)</f>
        <v>678.97427230827327</v>
      </c>
      <c r="J3">
        <f t="shared" ref="J3:J66" si="5">I3^2</f>
        <v>461006.0624565492</v>
      </c>
    </row>
    <row r="4" spans="1:10" x14ac:dyDescent="0.35">
      <c r="A4">
        <v>6.8808127673351401E-6</v>
      </c>
      <c r="B4">
        <v>4.16216647507332E-2</v>
      </c>
      <c r="C4">
        <v>2.3392322090391501E-4</v>
      </c>
      <c r="D4">
        <v>1.0800891645655881E-2</v>
      </c>
      <c r="E4">
        <f t="shared" si="0"/>
        <v>647.24953081971853</v>
      </c>
      <c r="F4">
        <f t="shared" si="1"/>
        <v>418931.95514634578</v>
      </c>
      <c r="G4">
        <f t="shared" si="2"/>
        <v>647.03383665578326</v>
      </c>
      <c r="H4">
        <f t="shared" si="3"/>
        <v>418652.78577750281</v>
      </c>
      <c r="I4">
        <f t="shared" si="4"/>
        <v>647.24480173447694</v>
      </c>
      <c r="J4">
        <f t="shared" si="5"/>
        <v>418925.83337230235</v>
      </c>
    </row>
    <row r="5" spans="1:10" x14ac:dyDescent="0.35">
      <c r="A5">
        <v>2.01604890225168E-4</v>
      </c>
      <c r="B5">
        <v>0.13650129363939201</v>
      </c>
      <c r="C5">
        <v>2.1367418955912701E-4</v>
      </c>
      <c r="D5">
        <v>862.93448027559759</v>
      </c>
      <c r="E5">
        <f t="shared" si="0"/>
        <v>691.79394804696994</v>
      </c>
      <c r="F5">
        <f t="shared" si="1"/>
        <v>478578.86655441375</v>
      </c>
      <c r="G5">
        <f t="shared" si="2"/>
        <v>691.08571892159614</v>
      </c>
      <c r="H5">
        <f t="shared" si="3"/>
        <v>477599.47089737939</v>
      </c>
      <c r="I5">
        <f t="shared" si="4"/>
        <v>691.77837400784972</v>
      </c>
      <c r="J5">
        <f t="shared" si="5"/>
        <v>478557.31874494441</v>
      </c>
    </row>
    <row r="6" spans="1:10" x14ac:dyDescent="0.35">
      <c r="A6">
        <v>2.4487921436418399E-4</v>
      </c>
      <c r="B6">
        <v>0.17049171313473699</v>
      </c>
      <c r="C6">
        <v>2.5268610402124096E-4</v>
      </c>
      <c r="D6">
        <v>1638.5843997588213</v>
      </c>
      <c r="E6">
        <f t="shared" si="0"/>
        <v>707.73316273675221</v>
      </c>
      <c r="F6">
        <f t="shared" si="1"/>
        <v>500886.2296373662</v>
      </c>
      <c r="G6">
        <f t="shared" si="2"/>
        <v>706.84863204337</v>
      </c>
      <c r="H6">
        <f t="shared" si="3"/>
        <v>499634.9886215835</v>
      </c>
      <c r="I6">
        <f t="shared" si="4"/>
        <v>707.71370995119037</v>
      </c>
      <c r="J6">
        <f t="shared" si="5"/>
        <v>500858.6952528776</v>
      </c>
    </row>
    <row r="7" spans="1:10" x14ac:dyDescent="0.35">
      <c r="A7">
        <v>2.5454760669986796E-4</v>
      </c>
      <c r="B7">
        <v>6.2992931117714701E-2</v>
      </c>
      <c r="C7">
        <v>1.5382228781150701E-4</v>
      </c>
      <c r="D7">
        <v>967.88066961053312</v>
      </c>
      <c r="E7">
        <f t="shared" si="0"/>
        <v>657.41241023993143</v>
      </c>
      <c r="F7">
        <f t="shared" si="1"/>
        <v>432191.07713747589</v>
      </c>
      <c r="G7">
        <f t="shared" si="2"/>
        <v>657.08445363826752</v>
      </c>
      <c r="H7">
        <f t="shared" si="3"/>
        <v>431759.97921310051</v>
      </c>
      <c r="I7">
        <f t="shared" si="4"/>
        <v>657.405213510914</v>
      </c>
      <c r="J7">
        <f t="shared" si="5"/>
        <v>432181.6147513304</v>
      </c>
    </row>
    <row r="8" spans="1:10" x14ac:dyDescent="0.35">
      <c r="A8">
        <v>2.3178342636247001E-4</v>
      </c>
      <c r="B8">
        <v>0.15072330952289201</v>
      </c>
      <c r="C8">
        <v>1.95971801445577E-4</v>
      </c>
      <c r="D8">
        <v>1516.2953457091694</v>
      </c>
      <c r="E8">
        <f t="shared" si="0"/>
        <v>698.47232620690738</v>
      </c>
      <c r="F8">
        <f t="shared" si="1"/>
        <v>487863.59047688846</v>
      </c>
      <c r="G8">
        <f t="shared" si="2"/>
        <v>697.69027123582305</v>
      </c>
      <c r="H8">
        <f t="shared" si="3"/>
        <v>486771.71457711631</v>
      </c>
      <c r="I8">
        <f t="shared" si="4"/>
        <v>698.45512518177384</v>
      </c>
      <c r="J8">
        <f t="shared" si="5"/>
        <v>487839.56189268734</v>
      </c>
    </row>
    <row r="9" spans="1:10" x14ac:dyDescent="0.35">
      <c r="A9">
        <v>8.7471814980048904E-5</v>
      </c>
      <c r="B9">
        <v>3.4301042381557803E-2</v>
      </c>
      <c r="C9">
        <v>1.9872947680477402E-4</v>
      </c>
      <c r="D9">
        <v>20.73686991006397</v>
      </c>
      <c r="E9">
        <f t="shared" si="0"/>
        <v>643.87340722818305</v>
      </c>
      <c r="F9">
        <f t="shared" si="1"/>
        <v>414572.96453562967</v>
      </c>
      <c r="G9">
        <f t="shared" si="2"/>
        <v>643.69509673238372</v>
      </c>
      <c r="H9">
        <f t="shared" si="3"/>
        <v>414343.37755731284</v>
      </c>
      <c r="I9">
        <f t="shared" si="4"/>
        <v>643.86950312758813</v>
      </c>
      <c r="J9">
        <f t="shared" si="5"/>
        <v>414567.93705776724</v>
      </c>
    </row>
    <row r="10" spans="1:10" x14ac:dyDescent="0.35">
      <c r="A10">
        <v>2.7634533324518703E-4</v>
      </c>
      <c r="B10">
        <v>1.6406685353688399E-2</v>
      </c>
      <c r="C10">
        <v>1.5372349981740099E-4</v>
      </c>
      <c r="D10">
        <v>314.49853499825014</v>
      </c>
      <c r="E10">
        <f t="shared" si="0"/>
        <v>635.61374484693783</v>
      </c>
      <c r="F10">
        <f t="shared" si="1"/>
        <v>404004.83263834822</v>
      </c>
      <c r="G10">
        <f t="shared" si="2"/>
        <v>635.52684208556195</v>
      </c>
      <c r="H10">
        <f t="shared" si="3"/>
        <v>403894.3670112468</v>
      </c>
      <c r="I10">
        <f t="shared" si="4"/>
        <v>635.6118616511618</v>
      </c>
      <c r="J10">
        <f t="shared" si="5"/>
        <v>404002.43867165566</v>
      </c>
    </row>
    <row r="11" spans="1:10" x14ac:dyDescent="0.35">
      <c r="A11">
        <v>2.8097345275419802E-4</v>
      </c>
      <c r="B11">
        <v>6.9108751690332204E-2</v>
      </c>
      <c r="C11">
        <v>1.8158999282139501E-4</v>
      </c>
      <c r="D11">
        <v>1251.6147458838466</v>
      </c>
      <c r="E11">
        <f t="shared" si="0"/>
        <v>660.29070784559542</v>
      </c>
      <c r="F11">
        <f t="shared" si="1"/>
        <v>435983.81886723742</v>
      </c>
      <c r="G11">
        <f t="shared" si="2"/>
        <v>659.93089095132518</v>
      </c>
      <c r="H11">
        <f t="shared" si="3"/>
        <v>435508.78083180985</v>
      </c>
      <c r="I11">
        <f t="shared" si="4"/>
        <v>660.28281337976125</v>
      </c>
      <c r="J11">
        <f t="shared" si="5"/>
        <v>435973.39364469261</v>
      </c>
    </row>
    <row r="12" spans="1:10" x14ac:dyDescent="0.35">
      <c r="A12">
        <v>8.6853747345204998E-5</v>
      </c>
      <c r="B12">
        <v>1.20991754789413E-2</v>
      </c>
      <c r="C12">
        <v>2.2052176837257501E-4</v>
      </c>
      <c r="D12">
        <v>6.4228373043755287</v>
      </c>
      <c r="E12">
        <f t="shared" si="0"/>
        <v>633.47677744227531</v>
      </c>
      <c r="F12">
        <f t="shared" si="1"/>
        <v>401292.82755864999</v>
      </c>
      <c r="G12">
        <f t="shared" si="2"/>
        <v>633.41340712998465</v>
      </c>
      <c r="H12">
        <f t="shared" si="3"/>
        <v>401212.54433201568</v>
      </c>
      <c r="I12">
        <f t="shared" si="4"/>
        <v>633.47540854549163</v>
      </c>
      <c r="J12">
        <f t="shared" si="5"/>
        <v>401291.09323187754</v>
      </c>
    </row>
    <row r="13" spans="1:10" x14ac:dyDescent="0.35">
      <c r="A13">
        <v>2.4295235351258702E-4</v>
      </c>
      <c r="B13">
        <v>3.9463827315766302E-2</v>
      </c>
      <c r="C13">
        <v>1.3413895231203802E-4</v>
      </c>
      <c r="D13">
        <v>580.89824505976947</v>
      </c>
      <c r="E13">
        <f t="shared" si="0"/>
        <v>646.3897677310847</v>
      </c>
      <c r="F13">
        <f t="shared" si="1"/>
        <v>417819.73182744562</v>
      </c>
      <c r="G13">
        <f t="shared" si="2"/>
        <v>646.18372376927005</v>
      </c>
      <c r="H13">
        <f t="shared" si="3"/>
        <v>417553.4048643203</v>
      </c>
      <c r="I13">
        <f t="shared" si="4"/>
        <v>646.3852549792615</v>
      </c>
      <c r="J13">
        <f t="shared" si="5"/>
        <v>417813.89785460493</v>
      </c>
    </row>
    <row r="14" spans="1:10" x14ac:dyDescent="0.35">
      <c r="A14">
        <v>1.0640143244216201E-4</v>
      </c>
      <c r="B14">
        <v>0.15077320818178699</v>
      </c>
      <c r="C14">
        <v>1.9085257520412899E-4</v>
      </c>
      <c r="D14">
        <v>167.85960641785564</v>
      </c>
      <c r="E14">
        <f t="shared" si="0"/>
        <v>698.41876612934846</v>
      </c>
      <c r="F14">
        <f t="shared" si="1"/>
        <v>487788.77288164152</v>
      </c>
      <c r="G14">
        <f t="shared" si="2"/>
        <v>697.63729887133366</v>
      </c>
      <c r="H14">
        <f t="shared" si="3"/>
        <v>486697.80077649053</v>
      </c>
      <c r="I14">
        <f t="shared" si="4"/>
        <v>698.40157016994817</v>
      </c>
      <c r="J14">
        <f t="shared" si="5"/>
        <v>487764.75321584905</v>
      </c>
    </row>
    <row r="15" spans="1:10" x14ac:dyDescent="0.35">
      <c r="A15">
        <v>1.5109974970117901E-4</v>
      </c>
      <c r="B15">
        <v>9.7725242790383707E-2</v>
      </c>
      <c r="C15">
        <v>2.1001934546380698E-4</v>
      </c>
      <c r="D15">
        <v>273.84119376248606</v>
      </c>
      <c r="E15">
        <f t="shared" si="0"/>
        <v>673.6077577243816</v>
      </c>
      <c r="F15">
        <f t="shared" si="1"/>
        <v>453747.41126646916</v>
      </c>
      <c r="G15">
        <f t="shared" si="2"/>
        <v>673.10063343842728</v>
      </c>
      <c r="H15">
        <f t="shared" si="3"/>
        <v>453064.46273521206</v>
      </c>
      <c r="I15">
        <f t="shared" si="4"/>
        <v>673.59661222656189</v>
      </c>
      <c r="J15">
        <f t="shared" si="5"/>
        <v>453732.3960031012</v>
      </c>
    </row>
    <row r="16" spans="1:10" x14ac:dyDescent="0.35">
      <c r="A16">
        <v>5.2756157219998699E-5</v>
      </c>
      <c r="B16">
        <v>0.11945444254767</v>
      </c>
      <c r="C16">
        <v>2.4665972050239097E-4</v>
      </c>
      <c r="D16">
        <v>12.786087214546665</v>
      </c>
      <c r="E16">
        <f t="shared" si="0"/>
        <v>683.71909908351915</v>
      </c>
      <c r="F16">
        <f t="shared" si="1"/>
        <v>467471.80645157909</v>
      </c>
      <c r="G16">
        <f t="shared" si="2"/>
        <v>683.10010910383278</v>
      </c>
      <c r="H16">
        <f t="shared" si="3"/>
        <v>466625.75905766827</v>
      </c>
      <c r="I16">
        <f t="shared" si="4"/>
        <v>683.70548629661346</v>
      </c>
      <c r="J16">
        <f t="shared" si="5"/>
        <v>467453.19199208869</v>
      </c>
    </row>
    <row r="17" spans="1:10" x14ac:dyDescent="0.35">
      <c r="A17">
        <v>3.0915213934234E-4</v>
      </c>
      <c r="B17">
        <v>3.4484429530069499E-2</v>
      </c>
      <c r="C17">
        <v>1.5961228639898201E-4</v>
      </c>
      <c r="D17">
        <v>873.53757799302082</v>
      </c>
      <c r="E17">
        <f t="shared" si="0"/>
        <v>644.0977931024313</v>
      </c>
      <c r="F17">
        <f t="shared" si="1"/>
        <v>414861.96707942238</v>
      </c>
      <c r="G17">
        <f t="shared" si="2"/>
        <v>643.91706849285993</v>
      </c>
      <c r="H17">
        <f t="shared" si="3"/>
        <v>414629.19109643844</v>
      </c>
      <c r="I17">
        <f t="shared" si="4"/>
        <v>644.09384482074063</v>
      </c>
      <c r="J17">
        <f t="shared" si="5"/>
        <v>414856.88093596429</v>
      </c>
    </row>
    <row r="18" spans="1:10" x14ac:dyDescent="0.35">
      <c r="A18">
        <v>2.6001575587272601E-4</v>
      </c>
      <c r="B18">
        <v>7.7814100678065198E-2</v>
      </c>
      <c r="C18">
        <v>1.4580244718995501E-4</v>
      </c>
      <c r="D18">
        <v>1307.1222429831921</v>
      </c>
      <c r="E18">
        <f t="shared" si="0"/>
        <v>664.35559816070668</v>
      </c>
      <c r="F18">
        <f t="shared" si="1"/>
        <v>441368.36080747034</v>
      </c>
      <c r="G18">
        <f t="shared" si="2"/>
        <v>663.950873402497</v>
      </c>
      <c r="H18">
        <f t="shared" si="3"/>
        <v>440830.76229193859</v>
      </c>
      <c r="I18">
        <f t="shared" si="4"/>
        <v>664.34670914244589</v>
      </c>
      <c r="J18">
        <f t="shared" si="5"/>
        <v>441356.54994839762</v>
      </c>
    </row>
    <row r="19" spans="1:10" x14ac:dyDescent="0.35">
      <c r="A19">
        <v>2.1768580611407102E-4</v>
      </c>
      <c r="B19">
        <v>6.0006334751584602E-2</v>
      </c>
      <c r="C19">
        <v>2.3133120176861498E-4</v>
      </c>
      <c r="D19">
        <v>442.16226487191648</v>
      </c>
      <c r="E19">
        <f t="shared" si="0"/>
        <v>655.98731175343516</v>
      </c>
      <c r="F19">
        <f t="shared" si="1"/>
        <v>430319.35318149853</v>
      </c>
      <c r="G19">
        <f t="shared" si="2"/>
        <v>655.67501573733102</v>
      </c>
      <c r="H19">
        <f t="shared" si="3"/>
        <v>429909.72626214928</v>
      </c>
      <c r="I19">
        <f t="shared" si="4"/>
        <v>655.98046590354159</v>
      </c>
      <c r="J19">
        <f t="shared" si="5"/>
        <v>430310.3716470275</v>
      </c>
    </row>
    <row r="20" spans="1:10" x14ac:dyDescent="0.35">
      <c r="A20">
        <v>1.4852325799207E-4</v>
      </c>
      <c r="B20">
        <v>0.145242369748004</v>
      </c>
      <c r="C20">
        <v>1.53345100141449E-4</v>
      </c>
      <c r="D20">
        <v>508.72848105372952</v>
      </c>
      <c r="E20">
        <f t="shared" si="0"/>
        <v>695.85707277896074</v>
      </c>
      <c r="F20">
        <f t="shared" si="1"/>
        <v>484217.06573650386</v>
      </c>
      <c r="G20">
        <f t="shared" si="2"/>
        <v>695.1039826503976</v>
      </c>
      <c r="H20">
        <f t="shared" si="3"/>
        <v>483169.54669644422</v>
      </c>
      <c r="I20">
        <f t="shared" si="4"/>
        <v>695.84050082562737</v>
      </c>
      <c r="J20">
        <f t="shared" si="5"/>
        <v>484194.00258925994</v>
      </c>
    </row>
    <row r="21" spans="1:10" x14ac:dyDescent="0.35">
      <c r="A21">
        <v>1.44123669354383E-4</v>
      </c>
      <c r="B21">
        <v>0.104089825013072</v>
      </c>
      <c r="C21">
        <v>2.1481551463764902E-4</v>
      </c>
      <c r="D21">
        <v>249.08071737064395</v>
      </c>
      <c r="E21">
        <f t="shared" si="0"/>
        <v>676.58316548207347</v>
      </c>
      <c r="F21">
        <f t="shared" si="1"/>
        <v>457764.77981374279</v>
      </c>
      <c r="G21">
        <f t="shared" si="2"/>
        <v>676.04313234941276</v>
      </c>
      <c r="H21">
        <f t="shared" si="3"/>
        <v>457034.31679680559</v>
      </c>
      <c r="I21">
        <f t="shared" si="4"/>
        <v>676.57129483066706</v>
      </c>
      <c r="J21">
        <f t="shared" si="5"/>
        <v>457748.71698884538</v>
      </c>
    </row>
    <row r="22" spans="1:10" x14ac:dyDescent="0.35">
      <c r="A22">
        <v>4.5915455703712406E-5</v>
      </c>
      <c r="B22">
        <v>0.106710238655673</v>
      </c>
      <c r="C22">
        <v>1.5334478624102801E-4</v>
      </c>
      <c r="D22">
        <v>12.851555222423478</v>
      </c>
      <c r="E22">
        <f t="shared" si="0"/>
        <v>677.75281993423448</v>
      </c>
      <c r="F22">
        <f t="shared" si="1"/>
        <v>459348.88492880686</v>
      </c>
      <c r="G22">
        <f t="shared" si="2"/>
        <v>677.19991958268793</v>
      </c>
      <c r="H22">
        <f t="shared" si="3"/>
        <v>458599.73108279897</v>
      </c>
      <c r="I22">
        <f t="shared" si="4"/>
        <v>677.74065367016885</v>
      </c>
      <c r="J22">
        <f t="shared" si="5"/>
        <v>459332.39363726776</v>
      </c>
    </row>
    <row r="23" spans="1:10" x14ac:dyDescent="0.35">
      <c r="A23">
        <v>1.8762669356337501E-4</v>
      </c>
      <c r="B23">
        <v>2.1722788270566899E-2</v>
      </c>
      <c r="C23">
        <v>1.3647364018079601E-4</v>
      </c>
      <c r="D23">
        <v>158.05942603793252</v>
      </c>
      <c r="E23">
        <f t="shared" si="0"/>
        <v>638.04907403941388</v>
      </c>
      <c r="F23">
        <f t="shared" si="1"/>
        <v>407106.62088255346</v>
      </c>
      <c r="G23">
        <f t="shared" si="2"/>
        <v>637.93525465863445</v>
      </c>
      <c r="H23">
        <f t="shared" si="3"/>
        <v>406961.38913637679</v>
      </c>
      <c r="I23">
        <f t="shared" si="4"/>
        <v>638.04659069147874</v>
      </c>
      <c r="J23">
        <f t="shared" si="5"/>
        <v>407103.45189301943</v>
      </c>
    </row>
    <row r="24" spans="1:10" x14ac:dyDescent="0.35">
      <c r="A24">
        <v>2.41563002811048E-4</v>
      </c>
      <c r="B24">
        <v>1.5712353387631599E-2</v>
      </c>
      <c r="C24">
        <v>1.9882152432531701E-4</v>
      </c>
      <c r="D24">
        <v>175.62303410571127</v>
      </c>
      <c r="E24">
        <f t="shared" si="0"/>
        <v>635.26488014649749</v>
      </c>
      <c r="F24">
        <f t="shared" si="1"/>
        <v>403561.46794754383</v>
      </c>
      <c r="G24">
        <f t="shared" si="2"/>
        <v>635.18177681974305</v>
      </c>
      <c r="H24">
        <f t="shared" si="3"/>
        <v>403455.88960388588</v>
      </c>
      <c r="I24">
        <f t="shared" si="4"/>
        <v>635.26308324765546</v>
      </c>
      <c r="J24">
        <f t="shared" si="5"/>
        <v>403559.18493731762</v>
      </c>
    </row>
    <row r="25" spans="1:10" x14ac:dyDescent="0.35">
      <c r="A25">
        <v>3.3978023675100501E-4</v>
      </c>
      <c r="B25">
        <v>1.9348353301100601E-2</v>
      </c>
      <c r="C25">
        <v>1.63633688280565E-4</v>
      </c>
      <c r="D25">
        <v>622.12428788688862</v>
      </c>
      <c r="E25">
        <f t="shared" si="0"/>
        <v>637.02959472191662</v>
      </c>
      <c r="F25">
        <f t="shared" si="1"/>
        <v>405806.70455156936</v>
      </c>
      <c r="G25">
        <f t="shared" si="2"/>
        <v>636.92702867464334</v>
      </c>
      <c r="H25">
        <f t="shared" si="3"/>
        <v>405676.03985630994</v>
      </c>
      <c r="I25">
        <f t="shared" si="4"/>
        <v>637.02737108185306</v>
      </c>
      <c r="J25">
        <f t="shared" si="5"/>
        <v>405803.87150745693</v>
      </c>
    </row>
    <row r="26" spans="1:10" x14ac:dyDescent="0.35">
      <c r="A26">
        <v>7.2300762642628203E-5</v>
      </c>
      <c r="B26">
        <v>5.1960903870832298E-2</v>
      </c>
      <c r="C26">
        <v>1.77760166070521E-4</v>
      </c>
      <c r="D26">
        <v>20.210892968740342</v>
      </c>
      <c r="E26">
        <f t="shared" si="0"/>
        <v>652.13366656913286</v>
      </c>
      <c r="F26">
        <f t="shared" si="1"/>
        <v>425278.31907290092</v>
      </c>
      <c r="G26">
        <f t="shared" si="2"/>
        <v>651.8640377139759</v>
      </c>
      <c r="H26">
        <f t="shared" si="3"/>
        <v>424926.72366476781</v>
      </c>
      <c r="I26">
        <f t="shared" si="4"/>
        <v>652.12774699143176</v>
      </c>
      <c r="J26">
        <f t="shared" si="5"/>
        <v>425270.59839612083</v>
      </c>
    </row>
    <row r="27" spans="1:10" x14ac:dyDescent="0.35">
      <c r="A27">
        <v>3.3504627894972901E-4</v>
      </c>
      <c r="B27">
        <v>2.9876311097438101E-3</v>
      </c>
      <c r="C27">
        <v>2.0616401636378102E-4</v>
      </c>
      <c r="D27">
        <v>81.168535282103107</v>
      </c>
      <c r="E27">
        <f t="shared" si="0"/>
        <v>629.36422168990282</v>
      </c>
      <c r="F27">
        <f t="shared" si="1"/>
        <v>396099.32354333712</v>
      </c>
      <c r="G27">
        <f t="shared" si="2"/>
        <v>629.34636751117546</v>
      </c>
      <c r="H27">
        <f t="shared" si="3"/>
        <v>396076.85029951151</v>
      </c>
      <c r="I27">
        <f t="shared" si="4"/>
        <v>629.36386896987278</v>
      </c>
      <c r="J27">
        <f t="shared" si="5"/>
        <v>396098.87956472719</v>
      </c>
    </row>
    <row r="28" spans="1:10" x14ac:dyDescent="0.35">
      <c r="A28">
        <v>2.9078392905922402E-5</v>
      </c>
      <c r="B28">
        <v>0.13447925791204099</v>
      </c>
      <c r="C28">
        <v>2.1414261554330999E-4</v>
      </c>
      <c r="D28">
        <v>2.8882181045132658</v>
      </c>
      <c r="E28">
        <f t="shared" si="0"/>
        <v>690.74097351519708</v>
      </c>
      <c r="F28">
        <f t="shared" si="1"/>
        <v>477123.09249272221</v>
      </c>
      <c r="G28">
        <f t="shared" si="2"/>
        <v>690.04437279553269</v>
      </c>
      <c r="H28">
        <f t="shared" si="3"/>
        <v>476161.23642678012</v>
      </c>
      <c r="I28">
        <f t="shared" si="4"/>
        <v>690.72564565539699</v>
      </c>
      <c r="J28">
        <f t="shared" si="5"/>
        <v>477101.91756606504</v>
      </c>
    </row>
    <row r="29" spans="1:10" x14ac:dyDescent="0.35">
      <c r="A29">
        <v>1.95629846551699E-4</v>
      </c>
      <c r="B29">
        <v>0.17296854604363701</v>
      </c>
      <c r="C29">
        <v>2.17953263659914E-4</v>
      </c>
      <c r="D29">
        <v>986.35729026070089</v>
      </c>
      <c r="E29">
        <f t="shared" si="0"/>
        <v>708.86433421652123</v>
      </c>
      <c r="F29">
        <f t="shared" si="1"/>
        <v>502488.64432423189</v>
      </c>
      <c r="G29">
        <f t="shared" si="2"/>
        <v>707.96733327664754</v>
      </c>
      <c r="H29">
        <f t="shared" si="3"/>
        <v>501217.74498684774</v>
      </c>
      <c r="I29">
        <f t="shared" si="4"/>
        <v>708.8446001742011</v>
      </c>
      <c r="J29">
        <f t="shared" si="5"/>
        <v>502460.66719612305</v>
      </c>
    </row>
    <row r="30" spans="1:10" x14ac:dyDescent="0.35">
      <c r="A30">
        <v>3.0403630859241197E-4</v>
      </c>
      <c r="B30">
        <v>7.0728400680390893E-2</v>
      </c>
      <c r="C30">
        <v>1.7645218864429499E-4</v>
      </c>
      <c r="D30">
        <v>1617.4354258856647</v>
      </c>
      <c r="E30">
        <f t="shared" si="0"/>
        <v>661.06350901780161</v>
      </c>
      <c r="F30">
        <f t="shared" si="1"/>
        <v>437004.96295492904</v>
      </c>
      <c r="G30">
        <f t="shared" si="2"/>
        <v>660.6951547090996</v>
      </c>
      <c r="H30">
        <f t="shared" si="3"/>
        <v>436518.08745608106</v>
      </c>
      <c r="I30">
        <f t="shared" si="4"/>
        <v>661.0554272365855</v>
      </c>
      <c r="J30">
        <f t="shared" si="5"/>
        <v>436994.27787894459</v>
      </c>
    </row>
    <row r="31" spans="1:10" x14ac:dyDescent="0.35">
      <c r="A31">
        <v>9.1949400881852111E-5</v>
      </c>
      <c r="B31">
        <v>4.1040256659986001E-2</v>
      </c>
      <c r="C31">
        <v>2.4899234591390702E-4</v>
      </c>
      <c r="D31">
        <v>22.596940423266012</v>
      </c>
      <c r="E31">
        <f t="shared" si="0"/>
        <v>647.02889433369614</v>
      </c>
      <c r="F31">
        <f t="shared" si="1"/>
        <v>418646.39010268531</v>
      </c>
      <c r="G31">
        <f t="shared" si="2"/>
        <v>646.81562885480105</v>
      </c>
      <c r="H31">
        <f t="shared" si="3"/>
        <v>418370.45773083175</v>
      </c>
      <c r="I31">
        <f t="shared" si="4"/>
        <v>647.0242253065619</v>
      </c>
      <c r="J31">
        <f t="shared" si="5"/>
        <v>418640.3481335566</v>
      </c>
    </row>
    <row r="32" spans="1:10" x14ac:dyDescent="0.35">
      <c r="A32">
        <v>3.1732708326135404E-4</v>
      </c>
      <c r="B32">
        <v>1.9051323175261401E-2</v>
      </c>
      <c r="C32">
        <v>2.0026220495327298E-4</v>
      </c>
      <c r="D32">
        <v>453.40301514800223</v>
      </c>
      <c r="E32">
        <f t="shared" si="0"/>
        <v>636.87478362367824</v>
      </c>
      <c r="F32">
        <f t="shared" si="1"/>
        <v>405609.49001570698</v>
      </c>
      <c r="G32">
        <f t="shared" si="2"/>
        <v>636.77388260558848</v>
      </c>
      <c r="H32">
        <f t="shared" si="3"/>
        <v>405480.97756859579</v>
      </c>
      <c r="I32">
        <f t="shared" si="4"/>
        <v>636.87259910171042</v>
      </c>
      <c r="J32">
        <f t="shared" si="5"/>
        <v>405606.70748656796</v>
      </c>
    </row>
    <row r="33" spans="1:10" x14ac:dyDescent="0.35">
      <c r="A33">
        <v>2.1411685084420101E-4</v>
      </c>
      <c r="B33">
        <v>8.1784884944669498E-2</v>
      </c>
      <c r="C33">
        <v>1.71865327276217E-4</v>
      </c>
      <c r="D33">
        <v>726.7114634041161</v>
      </c>
      <c r="E33">
        <f t="shared" si="0"/>
        <v>666.18513367421144</v>
      </c>
      <c r="F33">
        <f t="shared" si="1"/>
        <v>443802.63232852699</v>
      </c>
      <c r="G33">
        <f t="shared" si="2"/>
        <v>665.76014177837135</v>
      </c>
      <c r="H33">
        <f t="shared" si="3"/>
        <v>443236.56638075714</v>
      </c>
      <c r="I33">
        <f t="shared" si="4"/>
        <v>666.17579798375505</v>
      </c>
      <c r="J33">
        <f t="shared" si="5"/>
        <v>443790.19381929282</v>
      </c>
    </row>
    <row r="34" spans="1:10" x14ac:dyDescent="0.35">
      <c r="A34">
        <v>2.4694047764051998E-4</v>
      </c>
      <c r="B34">
        <v>9.9415951055572799E-2</v>
      </c>
      <c r="C34">
        <v>2.07764037430487E-4</v>
      </c>
      <c r="D34">
        <v>1144.0311187882073</v>
      </c>
      <c r="E34">
        <f t="shared" si="0"/>
        <v>674.45848405722541</v>
      </c>
      <c r="F34">
        <f t="shared" si="1"/>
        <v>454894.24671677058</v>
      </c>
      <c r="G34">
        <f t="shared" si="2"/>
        <v>673.94196340837777</v>
      </c>
      <c r="H34">
        <f t="shared" si="3"/>
        <v>454197.77004273923</v>
      </c>
      <c r="I34">
        <f t="shared" si="4"/>
        <v>674.4471368831903</v>
      </c>
      <c r="J34">
        <f t="shared" si="5"/>
        <v>454878.94044993282</v>
      </c>
    </row>
    <row r="35" spans="1:10" x14ac:dyDescent="0.35">
      <c r="A35">
        <v>1.69186477467493E-4</v>
      </c>
      <c r="B35">
        <v>3.3192823471975601E-2</v>
      </c>
      <c r="C35">
        <v>1.9946248604578101E-4</v>
      </c>
      <c r="D35">
        <v>134.81720808832694</v>
      </c>
      <c r="E35">
        <f t="shared" si="0"/>
        <v>643.40479828309822</v>
      </c>
      <c r="F35">
        <f t="shared" si="1"/>
        <v>413969.73445371428</v>
      </c>
      <c r="G35">
        <f t="shared" si="2"/>
        <v>643.23167587826777</v>
      </c>
      <c r="H35">
        <f t="shared" si="3"/>
        <v>413746.98885316489</v>
      </c>
      <c r="I35">
        <f t="shared" si="4"/>
        <v>643.40101338942134</v>
      </c>
      <c r="J35">
        <f t="shared" si="5"/>
        <v>413964.86403053434</v>
      </c>
    </row>
    <row r="36" spans="1:10" x14ac:dyDescent="0.35">
      <c r="A36">
        <v>1.9875623240480901E-4</v>
      </c>
      <c r="B36">
        <v>5.7295759972943797E-2</v>
      </c>
      <c r="C36">
        <v>2.14191965129755E-4</v>
      </c>
      <c r="D36">
        <v>347.04607224894795</v>
      </c>
      <c r="E36">
        <f t="shared" si="0"/>
        <v>654.70743933160281</v>
      </c>
      <c r="F36">
        <f t="shared" si="1"/>
        <v>428641.83111614437</v>
      </c>
      <c r="G36">
        <f t="shared" si="2"/>
        <v>654.40931566787458</v>
      </c>
      <c r="H36">
        <f t="shared" si="3"/>
        <v>428251.55243289593</v>
      </c>
      <c r="I36">
        <f t="shared" si="4"/>
        <v>654.70090294405645</v>
      </c>
      <c r="J36">
        <f t="shared" si="5"/>
        <v>428633.27231576282</v>
      </c>
    </row>
    <row r="37" spans="1:10" x14ac:dyDescent="0.35">
      <c r="A37">
        <v>1.0228121962998501E-4</v>
      </c>
      <c r="B37">
        <v>0.16414577396331601</v>
      </c>
      <c r="C37">
        <v>1.7731593995553199E-4</v>
      </c>
      <c r="D37">
        <v>175.06845510200347</v>
      </c>
      <c r="E37">
        <f t="shared" si="0"/>
        <v>704.67809053235374</v>
      </c>
      <c r="F37">
        <f t="shared" si="1"/>
        <v>496571.21127632412</v>
      </c>
      <c r="G37">
        <f t="shared" si="2"/>
        <v>703.82742328981874</v>
      </c>
      <c r="H37">
        <f t="shared" si="3"/>
        <v>495373.04177478567</v>
      </c>
      <c r="I37">
        <f t="shared" si="4"/>
        <v>704.65936794167453</v>
      </c>
      <c r="J37">
        <f t="shared" si="5"/>
        <v>496544.82482796023</v>
      </c>
    </row>
    <row r="38" spans="1:10" x14ac:dyDescent="0.35">
      <c r="A38">
        <v>1.04074480818421E-4</v>
      </c>
      <c r="B38">
        <v>0.13064953016369399</v>
      </c>
      <c r="C38">
        <v>1.9098243037235101E-4</v>
      </c>
      <c r="D38">
        <v>136.33623013448647</v>
      </c>
      <c r="E38">
        <f t="shared" si="0"/>
        <v>688.99524362442003</v>
      </c>
      <c r="F38">
        <f t="shared" si="1"/>
        <v>474714.4457370739</v>
      </c>
      <c r="G38">
        <f t="shared" si="2"/>
        <v>688.3179822654796</v>
      </c>
      <c r="H38">
        <f t="shared" si="3"/>
        <v>473781.64471002109</v>
      </c>
      <c r="I38">
        <f t="shared" si="4"/>
        <v>688.9803439961255</v>
      </c>
      <c r="J38">
        <f t="shared" si="5"/>
        <v>474693.91441301943</v>
      </c>
    </row>
    <row r="39" spans="1:10" x14ac:dyDescent="0.35">
      <c r="A39">
        <v>3.5626573843200104E-5</v>
      </c>
      <c r="B39">
        <v>9.0181258476087697E-2</v>
      </c>
      <c r="C39">
        <v>2.0440208485520501E-4</v>
      </c>
      <c r="D39">
        <v>3.7407955937698469</v>
      </c>
      <c r="E39">
        <f t="shared" si="0"/>
        <v>670.00480117787242</v>
      </c>
      <c r="F39">
        <f t="shared" si="1"/>
        <v>448906.43360140035</v>
      </c>
      <c r="G39">
        <f t="shared" si="2"/>
        <v>669.53751565602659</v>
      </c>
      <c r="H39">
        <f t="shared" si="3"/>
        <v>448280.48487084405</v>
      </c>
      <c r="I39">
        <f t="shared" si="4"/>
        <v>669.9945262782079</v>
      </c>
      <c r="J39">
        <f t="shared" si="5"/>
        <v>448892.66524276021</v>
      </c>
    </row>
    <row r="40" spans="1:10" x14ac:dyDescent="0.35">
      <c r="A40">
        <v>1.7991689948297E-4</v>
      </c>
      <c r="B40">
        <v>0.154209378567669</v>
      </c>
      <c r="C40">
        <v>2.0582281998312698E-4</v>
      </c>
      <c r="D40">
        <v>726.7490927737615</v>
      </c>
      <c r="E40">
        <f t="shared" si="0"/>
        <v>700.07208778903225</v>
      </c>
      <c r="F40">
        <f t="shared" si="1"/>
        <v>490100.9281012945</v>
      </c>
      <c r="G40">
        <f t="shared" si="2"/>
        <v>699.27232592078667</v>
      </c>
      <c r="H40">
        <f t="shared" si="3"/>
        <v>488981.78579866688</v>
      </c>
      <c r="I40">
        <f t="shared" si="4"/>
        <v>700.0544945061929</v>
      </c>
      <c r="J40">
        <f t="shared" si="5"/>
        <v>490076.29527832125</v>
      </c>
    </row>
    <row r="41" spans="1:10" x14ac:dyDescent="0.35">
      <c r="A41">
        <v>1.63164767041935E-4</v>
      </c>
      <c r="B41">
        <v>0.139515518623165</v>
      </c>
      <c r="C41">
        <v>1.74997500553738E-4</v>
      </c>
      <c r="D41">
        <v>571.31499756197377</v>
      </c>
      <c r="E41">
        <f t="shared" si="0"/>
        <v>693.18359216229817</v>
      </c>
      <c r="F41">
        <f t="shared" si="1"/>
        <v>480503.49244302732</v>
      </c>
      <c r="G41">
        <f t="shared" si="2"/>
        <v>692.460040348083</v>
      </c>
      <c r="H41">
        <f t="shared" si="3"/>
        <v>479500.90747886873</v>
      </c>
      <c r="I41">
        <f t="shared" si="4"/>
        <v>693.16767423697354</v>
      </c>
      <c r="J41">
        <f t="shared" si="5"/>
        <v>480481.42460709508</v>
      </c>
    </row>
    <row r="42" spans="1:10" x14ac:dyDescent="0.35">
      <c r="A42">
        <v>2.52516368944934E-4</v>
      </c>
      <c r="B42">
        <v>3.31514108183616E-2</v>
      </c>
      <c r="C42">
        <v>1.7610468622634201E-4</v>
      </c>
      <c r="D42">
        <v>456.78339493100373</v>
      </c>
      <c r="E42">
        <f t="shared" si="0"/>
        <v>643.437931858968</v>
      </c>
      <c r="F42">
        <f t="shared" si="1"/>
        <v>414012.37215494597</v>
      </c>
      <c r="G42">
        <f t="shared" si="2"/>
        <v>643.2644789268237</v>
      </c>
      <c r="H42">
        <f t="shared" si="3"/>
        <v>413789.18984899804</v>
      </c>
      <c r="I42">
        <f t="shared" si="4"/>
        <v>643.43414218763212</v>
      </c>
      <c r="J42">
        <f t="shared" si="5"/>
        <v>414007.49533273396</v>
      </c>
    </row>
    <row r="43" spans="1:10" x14ac:dyDescent="0.35">
      <c r="A43">
        <v>1.4406454755132799E-4</v>
      </c>
      <c r="B43">
        <v>5.8930688905321799E-2</v>
      </c>
      <c r="C43">
        <v>1.78094942404646E-4</v>
      </c>
      <c r="D43">
        <v>167.05396956595396</v>
      </c>
      <c r="E43">
        <f t="shared" si="0"/>
        <v>655.44114477609457</v>
      </c>
      <c r="F43">
        <f t="shared" si="1"/>
        <v>429603.09426539735</v>
      </c>
      <c r="G43">
        <f t="shared" si="2"/>
        <v>655.13494728864816</v>
      </c>
      <c r="H43">
        <f t="shared" si="3"/>
        <v>429201.79915889981</v>
      </c>
      <c r="I43">
        <f t="shared" si="4"/>
        <v>655.43442355966545</v>
      </c>
      <c r="J43">
        <f t="shared" si="5"/>
        <v>429594.2835869909</v>
      </c>
    </row>
    <row r="44" spans="1:10" x14ac:dyDescent="0.35">
      <c r="A44">
        <v>1.4057402019298801E-5</v>
      </c>
      <c r="B44">
        <v>3.5764395658499898E-2</v>
      </c>
      <c r="C44">
        <v>1.35960641922213E-4</v>
      </c>
      <c r="D44">
        <v>0.14927274819229708</v>
      </c>
      <c r="E44">
        <f t="shared" si="0"/>
        <v>644.51664791503822</v>
      </c>
      <c r="F44">
        <f t="shared" si="1"/>
        <v>415401.70943963731</v>
      </c>
      <c r="G44">
        <f t="shared" si="2"/>
        <v>644.33129507342608</v>
      </c>
      <c r="H44">
        <f t="shared" si="3"/>
        <v>415162.81781099847</v>
      </c>
      <c r="I44">
        <f t="shared" si="4"/>
        <v>644.51257789170234</v>
      </c>
      <c r="J44">
        <f t="shared" si="5"/>
        <v>415396.46306060767</v>
      </c>
    </row>
    <row r="45" spans="1:10" x14ac:dyDescent="0.35">
      <c r="A45">
        <v>2.08672802489076E-4</v>
      </c>
      <c r="B45">
        <v>7.4711245296617997E-3</v>
      </c>
      <c r="C45">
        <v>1.8016142527627098E-4</v>
      </c>
      <c r="D45">
        <v>59.668042651863175</v>
      </c>
      <c r="E45">
        <f t="shared" si="0"/>
        <v>631.3869915687834</v>
      </c>
      <c r="F45">
        <f t="shared" si="1"/>
        <v>398649.53312227898</v>
      </c>
      <c r="G45">
        <f t="shared" si="2"/>
        <v>631.34679037743979</v>
      </c>
      <c r="H45">
        <f t="shared" si="3"/>
        <v>398598.76971989492</v>
      </c>
      <c r="I45">
        <f t="shared" si="4"/>
        <v>631.38613629431529</v>
      </c>
      <c r="J45">
        <f t="shared" si="5"/>
        <v>398648.4531046637</v>
      </c>
    </row>
    <row r="46" spans="1:10" x14ac:dyDescent="0.35">
      <c r="A46">
        <v>2.6355136834127903E-4</v>
      </c>
      <c r="B46">
        <v>0.173415729726596</v>
      </c>
      <c r="C46">
        <v>2.0954614480702899E-4</v>
      </c>
      <c r="D46">
        <v>2382.6624872898037</v>
      </c>
      <c r="E46">
        <f t="shared" si="0"/>
        <v>709.11596483354708</v>
      </c>
      <c r="F46">
        <f t="shared" si="1"/>
        <v>502845.45158181241</v>
      </c>
      <c r="G46">
        <f t="shared" si="2"/>
        <v>708.21619752613617</v>
      </c>
      <c r="H46">
        <f t="shared" si="3"/>
        <v>501570.18243837915</v>
      </c>
      <c r="I46">
        <f t="shared" si="4"/>
        <v>709.09617295639907</v>
      </c>
      <c r="J46">
        <f t="shared" si="5"/>
        <v>502817.38250141143</v>
      </c>
    </row>
    <row r="47" spans="1:10" x14ac:dyDescent="0.35">
      <c r="A47">
        <v>9.1136045912599897E-5</v>
      </c>
      <c r="B47">
        <v>1.36663159991617E-3</v>
      </c>
      <c r="C47">
        <v>2.39033946296615E-4</v>
      </c>
      <c r="D47">
        <v>0.76643303868512058</v>
      </c>
      <c r="E47">
        <f t="shared" si="0"/>
        <v>628.45337407473846</v>
      </c>
      <c r="F47">
        <f t="shared" si="1"/>
        <v>394953.64338592318</v>
      </c>
      <c r="G47">
        <f t="shared" si="2"/>
        <v>628.44553071648977</v>
      </c>
      <c r="H47">
        <f t="shared" si="3"/>
        <v>394943.78507753048</v>
      </c>
      <c r="I47">
        <f t="shared" si="4"/>
        <v>628.45323100559415</v>
      </c>
      <c r="J47">
        <f t="shared" si="5"/>
        <v>394953.46356137068</v>
      </c>
    </row>
    <row r="48" spans="1:10" x14ac:dyDescent="0.35">
      <c r="A48">
        <v>3.1534217330029103E-4</v>
      </c>
      <c r="B48">
        <v>2.79814147381389E-2</v>
      </c>
      <c r="C48">
        <v>2.1104606398171199E-4</v>
      </c>
      <c r="D48">
        <v>632.79736577752521</v>
      </c>
      <c r="E48">
        <f t="shared" si="0"/>
        <v>641.05414504328417</v>
      </c>
      <c r="F48">
        <f t="shared" si="1"/>
        <v>410950.41687717603</v>
      </c>
      <c r="G48">
        <f t="shared" si="2"/>
        <v>640.90701482201223</v>
      </c>
      <c r="H48">
        <f t="shared" si="3"/>
        <v>410761.801648063</v>
      </c>
      <c r="I48">
        <f t="shared" si="4"/>
        <v>641.05094272322128</v>
      </c>
      <c r="J48">
        <f t="shared" si="5"/>
        <v>410946.31116633071</v>
      </c>
    </row>
    <row r="49" spans="1:10" x14ac:dyDescent="0.35">
      <c r="A49">
        <v>2.6089168139550102E-4</v>
      </c>
      <c r="B49">
        <v>4.1852021005016497E-2</v>
      </c>
      <c r="C49">
        <v>2.4308526096980502E-4</v>
      </c>
      <c r="D49">
        <v>498.70948231031082</v>
      </c>
      <c r="E49">
        <f t="shared" si="0"/>
        <v>647.51328700944896</v>
      </c>
      <c r="F49">
        <f t="shared" si="1"/>
        <v>419273.45685378101</v>
      </c>
      <c r="G49">
        <f t="shared" si="2"/>
        <v>647.29468692393937</v>
      </c>
      <c r="H49">
        <f t="shared" si="3"/>
        <v>418990.41171996068</v>
      </c>
      <c r="I49">
        <f t="shared" si="4"/>
        <v>647.50850973733043</v>
      </c>
      <c r="J49">
        <f t="shared" si="5"/>
        <v>419267.27018225851</v>
      </c>
    </row>
    <row r="50" spans="1:10" x14ac:dyDescent="0.35">
      <c r="A50">
        <v>2.7376876422618204E-4</v>
      </c>
      <c r="B50">
        <v>1.2446007818104701E-2</v>
      </c>
      <c r="C50">
        <v>2.38917996656958E-4</v>
      </c>
      <c r="D50">
        <v>172.66621777986285</v>
      </c>
      <c r="E50">
        <f t="shared" si="0"/>
        <v>633.75327853958129</v>
      </c>
      <c r="F50">
        <f t="shared" si="1"/>
        <v>401643.21805966808</v>
      </c>
      <c r="G50">
        <f t="shared" si="2"/>
        <v>633.68684423862669</v>
      </c>
      <c r="H50">
        <f t="shared" si="3"/>
        <v>401559.01656110951</v>
      </c>
      <c r="I50">
        <f t="shared" si="4"/>
        <v>633.75185497605366</v>
      </c>
      <c r="J50">
        <f t="shared" si="5"/>
        <v>401641.41368558898</v>
      </c>
    </row>
    <row r="51" spans="1:10" x14ac:dyDescent="0.35">
      <c r="A51">
        <v>1.46908200575065E-5</v>
      </c>
      <c r="B51">
        <v>6.4605316471302798E-2</v>
      </c>
      <c r="C51">
        <v>2.0584034585963203E-4</v>
      </c>
      <c r="D51">
        <v>0.18981603004570011</v>
      </c>
      <c r="E51">
        <f t="shared" si="0"/>
        <v>658.01695584038771</v>
      </c>
      <c r="F51">
        <f t="shared" si="1"/>
        <v>432986.31417345075</v>
      </c>
      <c r="G51">
        <f t="shared" si="2"/>
        <v>657.68222954284727</v>
      </c>
      <c r="H51">
        <f t="shared" si="3"/>
        <v>432545.91505645047</v>
      </c>
      <c r="I51">
        <f t="shared" si="4"/>
        <v>658.00960115378541</v>
      </c>
      <c r="J51">
        <f t="shared" si="5"/>
        <v>432976.63521056378</v>
      </c>
    </row>
    <row r="52" spans="1:10" x14ac:dyDescent="0.35">
      <c r="A52">
        <v>1.66906890261839E-4</v>
      </c>
      <c r="B52">
        <v>9.0636433065132804E-2</v>
      </c>
      <c r="C52">
        <v>2.3217040570904703E-4</v>
      </c>
      <c r="D52">
        <v>308.61433263285289</v>
      </c>
      <c r="E52">
        <f t="shared" si="0"/>
        <v>670.29728763951073</v>
      </c>
      <c r="F52">
        <f t="shared" si="1"/>
        <v>449298.45381688495</v>
      </c>
      <c r="G52">
        <f t="shared" si="2"/>
        <v>669.82674505040166</v>
      </c>
      <c r="H52">
        <f t="shared" si="3"/>
        <v>448667.86838481575</v>
      </c>
      <c r="I52">
        <f t="shared" si="4"/>
        <v>670.28695150880071</v>
      </c>
      <c r="J52">
        <f t="shared" si="5"/>
        <v>449284.59736296133</v>
      </c>
    </row>
    <row r="53" spans="1:10" x14ac:dyDescent="0.35">
      <c r="A53">
        <v>6.6275487450325707E-5</v>
      </c>
      <c r="B53">
        <v>0.13201880671420399</v>
      </c>
      <c r="C53">
        <v>2.2151825308517001E-4</v>
      </c>
      <c r="D53">
        <v>31.426438743672275</v>
      </c>
      <c r="E53">
        <f t="shared" si="0"/>
        <v>689.61148305271377</v>
      </c>
      <c r="F53">
        <f t="shared" si="1"/>
        <v>475563.9975581633</v>
      </c>
      <c r="G53">
        <f t="shared" si="2"/>
        <v>688.92736651799896</v>
      </c>
      <c r="H53">
        <f t="shared" si="3"/>
        <v>474620.9163374253</v>
      </c>
      <c r="I53">
        <f t="shared" si="4"/>
        <v>689.59643325329364</v>
      </c>
      <c r="J53">
        <f t="shared" si="5"/>
        <v>475543.24075566424</v>
      </c>
    </row>
    <row r="54" spans="1:10" x14ac:dyDescent="0.35">
      <c r="A54">
        <v>2.1644475123572802E-4</v>
      </c>
      <c r="B54">
        <v>0.11785498540179901</v>
      </c>
      <c r="C54">
        <v>2.3951423564381899E-4</v>
      </c>
      <c r="D54">
        <v>829.14113616197903</v>
      </c>
      <c r="E54">
        <f t="shared" si="0"/>
        <v>683.07136700438195</v>
      </c>
      <c r="F54">
        <f t="shared" si="1"/>
        <v>466586.49242123507</v>
      </c>
      <c r="G54">
        <f t="shared" si="2"/>
        <v>682.45956263282847</v>
      </c>
      <c r="H54">
        <f t="shared" si="3"/>
        <v>465751.05462899152</v>
      </c>
      <c r="I54">
        <f t="shared" si="4"/>
        <v>683.05792145368798</v>
      </c>
      <c r="J54">
        <f t="shared" si="5"/>
        <v>466568.1240606326</v>
      </c>
    </row>
    <row r="55" spans="1:10" x14ac:dyDescent="0.35">
      <c r="A55">
        <v>1.6481999698012801E-4</v>
      </c>
      <c r="B55">
        <v>8.4171961185266694E-2</v>
      </c>
      <c r="C55">
        <v>2.0991349683559902E-4</v>
      </c>
      <c r="D55">
        <v>303.15544902312826</v>
      </c>
      <c r="E55">
        <f t="shared" si="0"/>
        <v>667.27044434863205</v>
      </c>
      <c r="F55">
        <f t="shared" si="1"/>
        <v>445249.84590122086</v>
      </c>
      <c r="G55">
        <f t="shared" si="2"/>
        <v>666.83340002758223</v>
      </c>
      <c r="H55">
        <f t="shared" si="3"/>
        <v>444666.78339234547</v>
      </c>
      <c r="I55">
        <f t="shared" si="4"/>
        <v>667.26084404434948</v>
      </c>
      <c r="J55">
        <f t="shared" si="5"/>
        <v>445237.03399477771</v>
      </c>
    </row>
    <row r="56" spans="1:10" x14ac:dyDescent="0.35">
      <c r="A56">
        <v>2.08598744535442E-4</v>
      </c>
      <c r="B56">
        <v>6.4739001055526796E-2</v>
      </c>
      <c r="C56">
        <v>1.4592140835741798E-4</v>
      </c>
      <c r="D56">
        <v>600.33429585441945</v>
      </c>
      <c r="E56">
        <f t="shared" si="0"/>
        <v>658.20206059823204</v>
      </c>
      <c r="F56">
        <f t="shared" si="1"/>
        <v>433229.95257575874</v>
      </c>
      <c r="G56">
        <f t="shared" si="2"/>
        <v>657.86537768544792</v>
      </c>
      <c r="H56">
        <f t="shared" si="3"/>
        <v>432786.85515721707</v>
      </c>
      <c r="I56">
        <f t="shared" si="4"/>
        <v>658.19466805597563</v>
      </c>
      <c r="J56">
        <f t="shared" si="5"/>
        <v>433220.22105731594</v>
      </c>
    </row>
    <row r="57" spans="1:10" x14ac:dyDescent="0.35">
      <c r="A57">
        <v>3.4812682174526697E-4</v>
      </c>
      <c r="B57">
        <v>1.52280970226998E-4</v>
      </c>
      <c r="C57">
        <v>1.50663738221198E-4</v>
      </c>
      <c r="D57">
        <v>5.4381532782266913</v>
      </c>
      <c r="E57">
        <f t="shared" si="0"/>
        <v>628.04764164123321</v>
      </c>
      <c r="F57">
        <f t="shared" si="1"/>
        <v>394443.84017111489</v>
      </c>
      <c r="G57">
        <f t="shared" si="2"/>
        <v>628.04441557132304</v>
      </c>
      <c r="H57">
        <f t="shared" si="3"/>
        <v>394439.78793032473</v>
      </c>
      <c r="I57">
        <f t="shared" si="4"/>
        <v>628.04760638677919</v>
      </c>
      <c r="J57">
        <f t="shared" si="5"/>
        <v>394443.79588816274</v>
      </c>
    </row>
    <row r="58" spans="1:10" x14ac:dyDescent="0.35">
      <c r="A58">
        <v>7.7890586222079399E-5</v>
      </c>
      <c r="B58">
        <v>3.8064526717872103E-2</v>
      </c>
      <c r="C58">
        <v>1.91170552530734E-4</v>
      </c>
      <c r="D58">
        <v>17.067928086215876</v>
      </c>
      <c r="E58">
        <f t="shared" si="0"/>
        <v>645.63000043456429</v>
      </c>
      <c r="F58">
        <f t="shared" si="1"/>
        <v>416838.09746113548</v>
      </c>
      <c r="G58">
        <f t="shared" si="2"/>
        <v>645.43227380135886</v>
      </c>
      <c r="H58">
        <f t="shared" si="3"/>
        <v>416582.82006439229</v>
      </c>
      <c r="I58">
        <f t="shared" si="4"/>
        <v>645.62566711253885</v>
      </c>
      <c r="J58">
        <f t="shared" si="5"/>
        <v>416832.50203451084</v>
      </c>
    </row>
    <row r="59" spans="1:10" x14ac:dyDescent="0.35">
      <c r="A59">
        <v>1.5048243275186398E-4</v>
      </c>
      <c r="B59">
        <v>0.114739756303764</v>
      </c>
      <c r="C59">
        <v>2.2022557711160902E-4</v>
      </c>
      <c r="D59">
        <v>303.9398270307849</v>
      </c>
      <c r="E59">
        <f t="shared" si="0"/>
        <v>681.57318880819071</v>
      </c>
      <c r="F59">
        <f t="shared" si="1"/>
        <v>464542.01170216559</v>
      </c>
      <c r="G59">
        <f t="shared" si="2"/>
        <v>680.97796940697276</v>
      </c>
      <c r="H59">
        <f t="shared" si="3"/>
        <v>463730.99481764395</v>
      </c>
      <c r="I59">
        <f t="shared" si="4"/>
        <v>681.56010290669531</v>
      </c>
      <c r="J59">
        <f t="shared" si="5"/>
        <v>464524.17387418507</v>
      </c>
    </row>
    <row r="60" spans="1:10" x14ac:dyDescent="0.35">
      <c r="A60">
        <v>1.3932331748271301E-4</v>
      </c>
      <c r="B60">
        <v>0.163860396259977</v>
      </c>
      <c r="C60">
        <v>2.2300730428631902E-4</v>
      </c>
      <c r="D60">
        <v>342.83821921240695</v>
      </c>
      <c r="E60">
        <f t="shared" si="0"/>
        <v>704.56488914722411</v>
      </c>
      <c r="F60">
        <f t="shared" si="1"/>
        <v>496411.68301904021</v>
      </c>
      <c r="G60">
        <f t="shared" si="2"/>
        <v>703.71542083300369</v>
      </c>
      <c r="H60">
        <f t="shared" si="3"/>
        <v>495215.39351817151</v>
      </c>
      <c r="I60">
        <f t="shared" si="4"/>
        <v>704.54619982284839</v>
      </c>
      <c r="J60">
        <f t="shared" si="5"/>
        <v>496385.34768481704</v>
      </c>
    </row>
    <row r="61" spans="1:10" x14ac:dyDescent="0.35">
      <c r="A61">
        <v>1.4594967857466901E-4</v>
      </c>
      <c r="B61">
        <v>3.9743102036401703E-2</v>
      </c>
      <c r="C61">
        <v>2.5147896927380696E-4</v>
      </c>
      <c r="D61">
        <v>84.585631393528303</v>
      </c>
      <c r="E61">
        <f t="shared" si="0"/>
        <v>646.4546700763799</v>
      </c>
      <c r="F61">
        <f t="shared" si="1"/>
        <v>417903.64046356117</v>
      </c>
      <c r="G61">
        <f t="shared" si="2"/>
        <v>646.24775604500951</v>
      </c>
      <c r="H61">
        <f t="shared" si="3"/>
        <v>417636.1621932101</v>
      </c>
      <c r="I61">
        <f t="shared" si="4"/>
        <v>646.4501444455376</v>
      </c>
      <c r="J61">
        <f t="shared" si="5"/>
        <v>417897.7892536564</v>
      </c>
    </row>
    <row r="62" spans="1:10" x14ac:dyDescent="0.35">
      <c r="A62">
        <v>1.0008940149413E-4</v>
      </c>
      <c r="B62">
        <v>0.12594311390363799</v>
      </c>
      <c r="C62">
        <v>2.1581861217472202E-4</v>
      </c>
      <c r="D62">
        <v>103.69068508859156</v>
      </c>
      <c r="E62">
        <f t="shared" si="0"/>
        <v>686.78790569832267</v>
      </c>
      <c r="F62">
        <f t="shared" si="1"/>
        <v>471677.62741348817</v>
      </c>
      <c r="G62">
        <f t="shared" si="2"/>
        <v>686.13502248364966</v>
      </c>
      <c r="H62">
        <f t="shared" si="3"/>
        <v>470781.2690786384</v>
      </c>
      <c r="I62">
        <f t="shared" si="4"/>
        <v>686.77354561148968</v>
      </c>
      <c r="J62">
        <f t="shared" si="5"/>
        <v>471657.90295177692</v>
      </c>
    </row>
    <row r="63" spans="1:10" x14ac:dyDescent="0.35">
      <c r="A63">
        <v>7.3400810420799705E-5</v>
      </c>
      <c r="B63">
        <v>6.5865589986796999E-3</v>
      </c>
      <c r="C63">
        <v>2.3367457952815099E-4</v>
      </c>
      <c r="D63">
        <v>1.9980043305938644</v>
      </c>
      <c r="E63">
        <f t="shared" si="0"/>
        <v>630.88675171977502</v>
      </c>
      <c r="F63">
        <f t="shared" si="1"/>
        <v>398018.09349552903</v>
      </c>
      <c r="G63">
        <f t="shared" si="2"/>
        <v>630.85200486965232</v>
      </c>
      <c r="H63">
        <f t="shared" si="3"/>
        <v>397974.25204805983</v>
      </c>
      <c r="I63">
        <f t="shared" si="4"/>
        <v>630.88601417135624</v>
      </c>
      <c r="J63">
        <f t="shared" si="5"/>
        <v>398017.16287702072</v>
      </c>
    </row>
    <row r="64" spans="1:10" x14ac:dyDescent="0.35">
      <c r="A64">
        <v>3.2770303078108698E-4</v>
      </c>
      <c r="B64">
        <v>0.144174831360179</v>
      </c>
      <c r="C64">
        <v>1.8127668391907102E-4</v>
      </c>
      <c r="D64">
        <v>3978.3062921646037</v>
      </c>
      <c r="E64">
        <f t="shared" si="0"/>
        <v>695.4660921561125</v>
      </c>
      <c r="F64">
        <f t="shared" si="1"/>
        <v>483673.08533889434</v>
      </c>
      <c r="G64">
        <f t="shared" si="2"/>
        <v>694.71730674940932</v>
      </c>
      <c r="H64">
        <f t="shared" si="3"/>
        <v>482632.1362971529</v>
      </c>
      <c r="I64">
        <f t="shared" si="4"/>
        <v>695.44962844542385</v>
      </c>
      <c r="J64">
        <f t="shared" si="5"/>
        <v>483650.18570487807</v>
      </c>
    </row>
    <row r="65" spans="1:10" x14ac:dyDescent="0.35">
      <c r="A65">
        <v>1.35447396642152E-4</v>
      </c>
      <c r="B65">
        <v>0.16381154830941599</v>
      </c>
      <c r="C65">
        <v>1.7640226490292599E-4</v>
      </c>
      <c r="D65">
        <v>392.84402140658602</v>
      </c>
      <c r="E65">
        <f t="shared" si="0"/>
        <v>704.54206952618631</v>
      </c>
      <c r="F65">
        <f t="shared" si="1"/>
        <v>496379.52773224155</v>
      </c>
      <c r="G65">
        <f t="shared" si="2"/>
        <v>703.69291040653331</v>
      </c>
      <c r="H65">
        <f t="shared" si="3"/>
        <v>495183.71215641731</v>
      </c>
      <c r="I65">
        <f t="shared" si="4"/>
        <v>704.52338202528608</v>
      </c>
      <c r="J65">
        <f t="shared" si="5"/>
        <v>496353.19582034717</v>
      </c>
    </row>
    <row r="66" spans="1:10" x14ac:dyDescent="0.35">
      <c r="A66">
        <v>9.5683733421806006E-5</v>
      </c>
      <c r="B66">
        <v>0.107165178393929</v>
      </c>
      <c r="C66">
        <v>1.75013913136755E-4</v>
      </c>
      <c r="D66">
        <v>95.484145507543246</v>
      </c>
      <c r="E66">
        <f t="shared" si="0"/>
        <v>677.9953329510995</v>
      </c>
      <c r="F66">
        <f t="shared" si="1"/>
        <v>459677.67150347226</v>
      </c>
      <c r="G66">
        <f t="shared" si="2"/>
        <v>677.43972857979361</v>
      </c>
      <c r="H66">
        <f t="shared" si="3"/>
        <v>458924.58585826441</v>
      </c>
      <c r="I66">
        <f t="shared" si="4"/>
        <v>677.98311223384189</v>
      </c>
      <c r="J66">
        <f t="shared" si="5"/>
        <v>459661.10047428624</v>
      </c>
    </row>
    <row r="67" spans="1:10" x14ac:dyDescent="0.35">
      <c r="A67">
        <v>8.5736021195994308E-5</v>
      </c>
      <c r="B67">
        <v>0.16825051143339301</v>
      </c>
      <c r="C67">
        <v>2.0303318314042801E-4</v>
      </c>
      <c r="D67">
        <v>93.81924842570993</v>
      </c>
      <c r="E67">
        <f t="shared" ref="E67:E101" si="6">627.7699 + (615.6452*A67) + (468.2088*B67) + ((-52.3036)*C67)</f>
        <v>706.58843366113399</v>
      </c>
      <c r="F67">
        <f t="shared" ref="F67:F101" si="7">E67^2</f>
        <v>499267.21458369476</v>
      </c>
      <c r="G67">
        <f t="shared" ref="G67:G101" si="8" xml:space="preserve"> 627.7699 + (608.9238*A67) + (463.0313*B67) + ((-52.9523)*C67)</f>
        <v>705.71660866446882</v>
      </c>
      <c r="H67">
        <f t="shared" ref="H67:H101" si="9">G67^2</f>
        <v>498035.93174487905</v>
      </c>
      <c r="I67">
        <f t="shared" ref="I67:I101" si="10" xml:space="preserve"> 627.7699 + (615.5558*A67) + (468.0947*B67) + ((-52.2157)*C67)</f>
        <v>706.56924645959589</v>
      </c>
      <c r="J67">
        <f t="shared" ref="J67:J101" si="11">I67^2</f>
        <v>499240.10004248115</v>
      </c>
    </row>
    <row r="68" spans="1:10" x14ac:dyDescent="0.35">
      <c r="A68">
        <v>1.44448599316862E-5</v>
      </c>
      <c r="B68">
        <v>0.10868890053821401</v>
      </c>
      <c r="C68">
        <v>2.3092677017824302E-4</v>
      </c>
      <c r="D68">
        <v>0.26393212097905122</v>
      </c>
      <c r="E68">
        <f t="shared" si="6"/>
        <v>678.65581430158136</v>
      </c>
      <c r="F68">
        <f t="shared" si="7"/>
        <v>460573.71428534249</v>
      </c>
      <c r="G68">
        <f t="shared" si="8"/>
        <v>678.09283062716747</v>
      </c>
      <c r="H68">
        <f t="shared" si="9"/>
        <v>459809.88694796443</v>
      </c>
      <c r="I68">
        <f t="shared" si="10"/>
        <v>678.64343190512272</v>
      </c>
      <c r="J68">
        <f t="shared" si="11"/>
        <v>460556.90766796295</v>
      </c>
    </row>
    <row r="69" spans="1:10" x14ac:dyDescent="0.35">
      <c r="A69">
        <v>5.9456470596035103E-5</v>
      </c>
      <c r="B69">
        <v>2.5880203682940101E-2</v>
      </c>
      <c r="C69">
        <v>2.38893023345926E-4</v>
      </c>
      <c r="D69">
        <v>4.1012802504772461</v>
      </c>
      <c r="E69">
        <f t="shared" si="6"/>
        <v>639.91134823574055</v>
      </c>
      <c r="F69">
        <f t="shared" si="7"/>
        <v>409486.53360088321</v>
      </c>
      <c r="G69">
        <f t="shared" si="8"/>
        <v>639.77679888054627</v>
      </c>
      <c r="H69">
        <f t="shared" si="9"/>
        <v>409314.35238583892</v>
      </c>
      <c r="I69">
        <f t="shared" si="10"/>
        <v>639.90841098778856</v>
      </c>
      <c r="J69">
        <f t="shared" si="11"/>
        <v>409482.77445291652</v>
      </c>
    </row>
    <row r="70" spans="1:10" x14ac:dyDescent="0.35">
      <c r="A70">
        <v>2.3087657678087E-4</v>
      </c>
      <c r="B70">
        <v>5.8671754902327802E-2</v>
      </c>
      <c r="C70">
        <v>2.00537136775827E-4</v>
      </c>
      <c r="D70">
        <v>573.66119795241275</v>
      </c>
      <c r="E70">
        <f t="shared" si="6"/>
        <v>655.37218119881345</v>
      </c>
      <c r="F70">
        <f t="shared" si="7"/>
        <v>429512.69588929036</v>
      </c>
      <c r="G70">
        <f t="shared" si="8"/>
        <v>655.06672628554293</v>
      </c>
      <c r="H70">
        <f t="shared" si="9"/>
        <v>429112.41588645842</v>
      </c>
      <c r="I70">
        <f t="shared" si="10"/>
        <v>655.36548373842754</v>
      </c>
      <c r="J70">
        <f t="shared" si="11"/>
        <v>429503.91727570316</v>
      </c>
    </row>
    <row r="71" spans="1:10" x14ac:dyDescent="0.35">
      <c r="A71">
        <v>2.7916971900190199E-5</v>
      </c>
      <c r="B71">
        <v>0.101002982356117</v>
      </c>
      <c r="C71">
        <v>2.0676571374614501E-4</v>
      </c>
      <c r="D71">
        <v>2.0024258233358023</v>
      </c>
      <c r="E71">
        <f t="shared" si="6"/>
        <v>675.0667575239421</v>
      </c>
      <c r="F71">
        <f t="shared" si="7"/>
        <v>455715.12711388886</v>
      </c>
      <c r="G71">
        <f t="shared" si="8"/>
        <v>674.54349281273994</v>
      </c>
      <c r="H71">
        <f t="shared" si="9"/>
        <v>455008.92369601096</v>
      </c>
      <c r="I71">
        <f t="shared" si="10"/>
        <v>675.05524876258426</v>
      </c>
      <c r="J71">
        <f t="shared" si="11"/>
        <v>455699.5888819145</v>
      </c>
    </row>
    <row r="72" spans="1:10" x14ac:dyDescent="0.35">
      <c r="A72">
        <v>1.20786728846194E-4</v>
      </c>
      <c r="B72">
        <v>2.7599502732903999E-2</v>
      </c>
      <c r="C72">
        <v>2.00851307555343E-4</v>
      </c>
      <c r="D72">
        <v>42.218703199496382</v>
      </c>
      <c r="E72">
        <f t="shared" si="6"/>
        <v>640.75608657855776</v>
      </c>
      <c r="F72">
        <f t="shared" si="7"/>
        <v>410568.36248746823</v>
      </c>
      <c r="G72">
        <f t="shared" si="8"/>
        <v>640.61224800499565</v>
      </c>
      <c r="H72">
        <f t="shared" si="9"/>
        <v>410384.05229401408</v>
      </c>
      <c r="I72">
        <f t="shared" si="10"/>
        <v>640.75294433179215</v>
      </c>
      <c r="J72">
        <f t="shared" si="11"/>
        <v>410564.33566986071</v>
      </c>
    </row>
    <row r="73" spans="1:10" x14ac:dyDescent="0.35">
      <c r="A73">
        <v>1.5464915218937401E-4</v>
      </c>
      <c r="B73">
        <v>3.7772427679838197E-2</v>
      </c>
      <c r="C73">
        <v>2.3549771440525499E-4</v>
      </c>
      <c r="D73">
        <v>101.61159480006346</v>
      </c>
      <c r="E73">
        <f t="shared" si="6"/>
        <v>645.53817466703811</v>
      </c>
      <c r="F73">
        <f t="shared" si="7"/>
        <v>416719.53495245142</v>
      </c>
      <c r="G73">
        <f t="shared" si="8"/>
        <v>645.34141569654696</v>
      </c>
      <c r="H73">
        <f t="shared" si="9"/>
        <v>416465.54281322344</v>
      </c>
      <c r="I73">
        <f t="shared" si="10"/>
        <v>645.53387170765473</v>
      </c>
      <c r="J73">
        <f t="shared" si="11"/>
        <v>416713.9795218748</v>
      </c>
    </row>
    <row r="74" spans="1:10" x14ac:dyDescent="0.35">
      <c r="A74">
        <v>3.0863725903481699E-4</v>
      </c>
      <c r="B74">
        <v>0.162651751436932</v>
      </c>
      <c r="C74">
        <v>1.63493629782827E-4</v>
      </c>
      <c r="D74">
        <v>4047.6769972624375</v>
      </c>
      <c r="E74">
        <f t="shared" si="6"/>
        <v>704.10634109983539</v>
      </c>
      <c r="F74">
        <f t="shared" si="7"/>
        <v>495765.73957699776</v>
      </c>
      <c r="G74">
        <f t="shared" si="8"/>
        <v>703.26203112398025</v>
      </c>
      <c r="H74">
        <f t="shared" si="9"/>
        <v>494577.48442062619</v>
      </c>
      <c r="I74">
        <f t="shared" si="10"/>
        <v>704.0877693139156</v>
      </c>
      <c r="J74">
        <f t="shared" si="11"/>
        <v>495739.58689744561</v>
      </c>
    </row>
    <row r="75" spans="1:10" x14ac:dyDescent="0.35">
      <c r="A75">
        <v>3.3863750947098697E-4</v>
      </c>
      <c r="B75">
        <v>1.05483317453693E-2</v>
      </c>
      <c r="C75">
        <v>1.8771847386118501E-4</v>
      </c>
      <c r="D75">
        <v>311.94985310589357</v>
      </c>
      <c r="E75">
        <f t="shared" si="6"/>
        <v>632.90738395377764</v>
      </c>
      <c r="F75">
        <f t="shared" si="7"/>
        <v>400571.75666321453</v>
      </c>
      <c r="G75">
        <f t="shared" si="8"/>
        <v>632.85037207503569</v>
      </c>
      <c r="H75">
        <f t="shared" si="9"/>
        <v>400499.59343551111</v>
      </c>
      <c r="I75">
        <f t="shared" si="10"/>
        <v>632.90616661538604</v>
      </c>
      <c r="J75">
        <f t="shared" si="11"/>
        <v>400570.21573978278</v>
      </c>
    </row>
    <row r="76" spans="1:10" x14ac:dyDescent="0.35">
      <c r="A76">
        <v>1.98818428135106E-4</v>
      </c>
      <c r="B76">
        <v>0.10246650118373</v>
      </c>
      <c r="C76">
        <v>1.8366437394000103E-4</v>
      </c>
      <c r="D76">
        <v>704.09312893138951</v>
      </c>
      <c r="E76">
        <f t="shared" si="6"/>
        <v>675.85841286243692</v>
      </c>
      <c r="F76">
        <f t="shared" si="7"/>
        <v>456784.59423693223</v>
      </c>
      <c r="G76">
        <f t="shared" si="8"/>
        <v>675.3264370712958</v>
      </c>
      <c r="H76">
        <f t="shared" si="9"/>
        <v>456065.79660741083</v>
      </c>
      <c r="I76">
        <f t="shared" si="10"/>
        <v>675.84671980438281</v>
      </c>
      <c r="J76">
        <f t="shared" si="11"/>
        <v>456768.78867034393</v>
      </c>
    </row>
    <row r="77" spans="1:10" x14ac:dyDescent="0.35">
      <c r="A77">
        <v>2.4613067681897701E-5</v>
      </c>
      <c r="B77">
        <v>0.112867319080557</v>
      </c>
      <c r="C77">
        <v>2.30229505709827E-4</v>
      </c>
      <c r="D77">
        <v>1.3523418482682432</v>
      </c>
      <c r="E77">
        <f t="shared" si="6"/>
        <v>680.61848311092535</v>
      </c>
      <c r="F77">
        <f t="shared" si="7"/>
        <v>463241.51955221698</v>
      </c>
      <c r="G77">
        <f t="shared" si="8"/>
        <v>680.03379778223245</v>
      </c>
      <c r="H77">
        <f t="shared" si="9"/>
        <v>462445.96612612624</v>
      </c>
      <c r="I77">
        <f t="shared" si="10"/>
        <v>680.60562298658374</v>
      </c>
      <c r="J77">
        <f t="shared" si="11"/>
        <v>463224.01404095575</v>
      </c>
    </row>
    <row r="78" spans="1:10" x14ac:dyDescent="0.35">
      <c r="A78">
        <v>3.0679567394344397E-4</v>
      </c>
      <c r="B78">
        <v>0.15814476355598001</v>
      </c>
      <c r="C78">
        <v>1.7562727437069601E-4</v>
      </c>
      <c r="D78">
        <v>3716.6243711612919</v>
      </c>
      <c r="E78">
        <f t="shared" si="6"/>
        <v>701.9943613161654</v>
      </c>
      <c r="F78">
        <f t="shared" si="7"/>
        <v>492796.08331969095</v>
      </c>
      <c r="G78">
        <f t="shared" si="8"/>
        <v>701.17339077699853</v>
      </c>
      <c r="H78">
        <f t="shared" si="9"/>
        <v>491644.12393371348</v>
      </c>
      <c r="I78">
        <f t="shared" si="10"/>
        <v>701.97630500874789</v>
      </c>
      <c r="J78">
        <f t="shared" si="11"/>
        <v>492770.73279373464</v>
      </c>
    </row>
    <row r="79" spans="1:10" x14ac:dyDescent="0.35">
      <c r="A79">
        <v>2.64928945947156E-4</v>
      </c>
      <c r="B79">
        <v>9.6435136300082099E-3</v>
      </c>
      <c r="C79">
        <v>1.7884501832714E-4</v>
      </c>
      <c r="D79">
        <v>150.07597765319798</v>
      </c>
      <c r="E79">
        <f t="shared" si="6"/>
        <v>632.43882594010256</v>
      </c>
      <c r="F79">
        <f t="shared" si="7"/>
        <v>399978.86855649535</v>
      </c>
      <c r="G79">
        <f t="shared" si="8"/>
        <v>632.38699993810258</v>
      </c>
      <c r="H79">
        <f t="shared" si="9"/>
        <v>399913.31769071374</v>
      </c>
      <c r="I79">
        <f t="shared" si="10"/>
        <v>632.43771765102667</v>
      </c>
      <c r="J79">
        <f t="shared" si="11"/>
        <v>399977.46670763975</v>
      </c>
    </row>
    <row r="80" spans="1:10" x14ac:dyDescent="0.35">
      <c r="A80">
        <v>2.00287826470103E-4</v>
      </c>
      <c r="B80">
        <v>0.174501610035556</v>
      </c>
      <c r="C80">
        <v>2.2026294951661601E-4</v>
      </c>
      <c r="D80">
        <v>1055.0771584672277</v>
      </c>
      <c r="E80">
        <f t="shared" si="6"/>
        <v>709.58487512659406</v>
      </c>
      <c r="F80">
        <f t="shared" si="7"/>
        <v>503510.69500842405</v>
      </c>
      <c r="G80">
        <f t="shared" si="8"/>
        <v>708.67990394146273</v>
      </c>
      <c r="H80">
        <f t="shared" si="9"/>
        <v>502227.20625048084</v>
      </c>
      <c r="I80">
        <f t="shared" si="10"/>
        <v>709.56496594827058</v>
      </c>
      <c r="J80">
        <f t="shared" si="11"/>
        <v>503482.44090117037</v>
      </c>
    </row>
    <row r="81" spans="1:10" x14ac:dyDescent="0.35">
      <c r="A81">
        <v>7.3257058706310196E-6</v>
      </c>
      <c r="B81">
        <v>0.13673313657148201</v>
      </c>
      <c r="C81">
        <v>1.7991722840425401E-4</v>
      </c>
      <c r="D81">
        <v>5.9003889985046881E-2</v>
      </c>
      <c r="E81">
        <f t="shared" si="6"/>
        <v>691.78465751127794</v>
      </c>
      <c r="F81">
        <f t="shared" si="7"/>
        <v>478566.0123679961</v>
      </c>
      <c r="G81">
        <f t="shared" si="8"/>
        <v>691.07655574537364</v>
      </c>
      <c r="H81">
        <f t="shared" si="9"/>
        <v>477586.80590088852</v>
      </c>
      <c r="I81">
        <f t="shared" si="10"/>
        <v>691.7690714202015</v>
      </c>
      <c r="J81">
        <f t="shared" si="11"/>
        <v>478544.44817356783</v>
      </c>
    </row>
    <row r="82" spans="1:10" x14ac:dyDescent="0.35">
      <c r="A82">
        <v>7.4360664946438107E-5</v>
      </c>
      <c r="B82">
        <v>4.4875571166864602E-2</v>
      </c>
      <c r="C82">
        <v>1.5473929395812001E-4</v>
      </c>
      <c r="D82">
        <v>21.766491022027903</v>
      </c>
      <c r="E82">
        <f t="shared" si="6"/>
        <v>648.81872368965981</v>
      </c>
      <c r="F82">
        <f t="shared" si="7"/>
        <v>420965.73621027911</v>
      </c>
      <c r="G82">
        <f t="shared" si="8"/>
        <v>648.58578023279006</v>
      </c>
      <c r="H82">
        <f t="shared" si="9"/>
        <v>420663.51432017703</v>
      </c>
      <c r="I82">
        <f t="shared" si="10"/>
        <v>648.81361034073029</v>
      </c>
      <c r="J82">
        <f t="shared" si="11"/>
        <v>420959.10096337303</v>
      </c>
    </row>
    <row r="83" spans="1:10" x14ac:dyDescent="0.35">
      <c r="A83">
        <v>2.8724628668110605E-4</v>
      </c>
      <c r="B83">
        <v>0.140537760056237</v>
      </c>
      <c r="C83">
        <v>2.2842239907691601E-4</v>
      </c>
      <c r="D83">
        <v>2313.2135805064327</v>
      </c>
      <c r="E83">
        <f t="shared" si="6"/>
        <v>693.7358104744394</v>
      </c>
      <c r="F83">
        <f t="shared" si="7"/>
        <v>481269.37473462732</v>
      </c>
      <c r="G83">
        <f t="shared" si="8"/>
        <v>693.0060973469466</v>
      </c>
      <c r="H83">
        <f t="shared" si="9"/>
        <v>480257.45096004562</v>
      </c>
      <c r="I83">
        <f t="shared" si="10"/>
        <v>693.7197695145278</v>
      </c>
      <c r="J83">
        <f t="shared" si="11"/>
        <v>481247.11861528957</v>
      </c>
    </row>
    <row r="84" spans="1:10" x14ac:dyDescent="0.35">
      <c r="A84">
        <v>1.63563334113781E-5</v>
      </c>
      <c r="B84">
        <v>1.58372089032543E-2</v>
      </c>
      <c r="C84">
        <v>1.8259501145409098E-4</v>
      </c>
      <c r="D84">
        <v>7.3938126855209438E-2</v>
      </c>
      <c r="E84">
        <f t="shared" si="6"/>
        <v>635.18553989765519</v>
      </c>
      <c r="F84">
        <f t="shared" si="7"/>
        <v>403460.67009507574</v>
      </c>
      <c r="G84">
        <f t="shared" si="8"/>
        <v>635.10331436171532</v>
      </c>
      <c r="H84">
        <f t="shared" si="9"/>
        <v>403356.21991323581</v>
      </c>
      <c r="I84">
        <f t="shared" si="10"/>
        <v>635.18374745996471</v>
      </c>
      <c r="J84">
        <f t="shared" si="11"/>
        <v>403458.3930372842</v>
      </c>
    </row>
    <row r="85" spans="1:10" x14ac:dyDescent="0.35">
      <c r="A85">
        <v>1.63933602813174E-4</v>
      </c>
      <c r="B85">
        <v>4.9598247285764702E-2</v>
      </c>
      <c r="C85">
        <v>1.9297363538460299E-4</v>
      </c>
      <c r="D85">
        <v>189.46181816402469</v>
      </c>
      <c r="E85">
        <f t="shared" si="6"/>
        <v>651.08306756362606</v>
      </c>
      <c r="F85">
        <f t="shared" si="7"/>
        <v>423909.16086806124</v>
      </c>
      <c r="G85">
        <f t="shared" si="8"/>
        <v>650.82504559298877</v>
      </c>
      <c r="H85">
        <f t="shared" si="9"/>
        <v>423573.23997111589</v>
      </c>
      <c r="I85">
        <f t="shared" si="10"/>
        <v>651.07741071032933</v>
      </c>
      <c r="J85">
        <f t="shared" si="11"/>
        <v>423901.79473726684</v>
      </c>
    </row>
    <row r="86" spans="1:10" x14ac:dyDescent="0.35">
      <c r="A86">
        <v>8.5412267751421202E-5</v>
      </c>
      <c r="B86">
        <v>0.14383920899076399</v>
      </c>
      <c r="C86">
        <v>1.5093937718344799E-4</v>
      </c>
      <c r="D86">
        <v>106.47677122037827</v>
      </c>
      <c r="E86">
        <f t="shared" si="6"/>
        <v>695.16137241436866</v>
      </c>
      <c r="F86">
        <f t="shared" si="7"/>
        <v>483249.33369702857</v>
      </c>
      <c r="G86">
        <f t="shared" si="8"/>
        <v>694.41597290542848</v>
      </c>
      <c r="H86">
        <f t="shared" si="9"/>
        <v>482213.54342619277</v>
      </c>
      <c r="I86">
        <f t="shared" si="10"/>
        <v>695.14496599233735</v>
      </c>
      <c r="J86">
        <f t="shared" si="11"/>
        <v>483226.52374448784</v>
      </c>
    </row>
    <row r="87" spans="1:10" x14ac:dyDescent="0.35">
      <c r="A87">
        <v>3.2921844777543402E-4</v>
      </c>
      <c r="B87">
        <v>0.121900225022554</v>
      </c>
      <c r="C87">
        <v>2.3727010715262801E-4</v>
      </c>
      <c r="D87">
        <v>2878.0782830221656</v>
      </c>
      <c r="E87">
        <f t="shared" si="6"/>
        <v>685.03492975388792</v>
      </c>
      <c r="F87">
        <f t="shared" si="7"/>
        <v>469272.85498291417</v>
      </c>
      <c r="G87">
        <f t="shared" si="8"/>
        <v>684.40142461284029</v>
      </c>
      <c r="H87">
        <f t="shared" si="9"/>
        <v>468405.31001208531</v>
      </c>
      <c r="I87">
        <f t="shared" si="10"/>
        <v>685.02101236212593</v>
      </c>
      <c r="J87">
        <f t="shared" si="11"/>
        <v>469253.78737763187</v>
      </c>
    </row>
    <row r="88" spans="1:10" x14ac:dyDescent="0.35">
      <c r="A88">
        <v>2.5164039148618502E-4</v>
      </c>
      <c r="B88">
        <v>0.10643024079496401</v>
      </c>
      <c r="C88">
        <v>2.20400845312959E-4</v>
      </c>
      <c r="D88">
        <v>1235.1386417572048</v>
      </c>
      <c r="E88">
        <f t="shared" si="6"/>
        <v>677.74486876781293</v>
      </c>
      <c r="F88">
        <f t="shared" si="7"/>
        <v>459338.10714109999</v>
      </c>
      <c r="G88">
        <f t="shared" si="8"/>
        <v>677.19199184634124</v>
      </c>
      <c r="H88">
        <f t="shared" si="9"/>
        <v>458588.99382081511</v>
      </c>
      <c r="I88">
        <f t="shared" si="10"/>
        <v>677.73272195392144</v>
      </c>
      <c r="J88">
        <f t="shared" si="11"/>
        <v>459321.64240707137</v>
      </c>
    </row>
    <row r="89" spans="1:10" x14ac:dyDescent="0.35">
      <c r="A89">
        <v>1.33625930182052E-4</v>
      </c>
      <c r="B89">
        <v>2.3136217989062801E-2</v>
      </c>
      <c r="C89">
        <v>2.2625964719648101E-4</v>
      </c>
      <c r="D89">
        <v>42.257797845701781</v>
      </c>
      <c r="E89">
        <f t="shared" si="6"/>
        <v>638.67291282962651</v>
      </c>
      <c r="F89">
        <f t="shared" si="7"/>
        <v>407903.08958227973</v>
      </c>
      <c r="G89">
        <f t="shared" si="8"/>
        <v>638.55208013302786</v>
      </c>
      <c r="H89">
        <f t="shared" si="9"/>
        <v>407748.75904221681</v>
      </c>
      <c r="I89">
        <f t="shared" si="10"/>
        <v>638.67028092921885</v>
      </c>
      <c r="J89">
        <f t="shared" si="11"/>
        <v>407899.72774220735</v>
      </c>
    </row>
    <row r="90" spans="1:10" x14ac:dyDescent="0.35">
      <c r="A90">
        <v>1.6090515264220202E-4</v>
      </c>
      <c r="B90">
        <v>0.12519128343972999</v>
      </c>
      <c r="C90">
        <v>2.52278641493908E-4</v>
      </c>
      <c r="D90">
        <v>353.69065191416104</v>
      </c>
      <c r="E90">
        <f t="shared" si="6"/>
        <v>686.47142599350218</v>
      </c>
      <c r="F90">
        <f t="shared" si="7"/>
        <v>471243.01870555233</v>
      </c>
      <c r="G90">
        <f t="shared" si="8"/>
        <v>685.82200296244514</v>
      </c>
      <c r="H90">
        <f t="shared" si="9"/>
        <v>470351.81974742009</v>
      </c>
      <c r="I90">
        <f t="shared" si="10"/>
        <v>686.45714945843349</v>
      </c>
      <c r="J90">
        <f t="shared" si="11"/>
        <v>471223.41804259812</v>
      </c>
    </row>
    <row r="91" spans="1:10" x14ac:dyDescent="0.35">
      <c r="A91">
        <v>2.5745136739646598E-5</v>
      </c>
      <c r="B91">
        <v>6.3159194260881998E-2</v>
      </c>
      <c r="C91">
        <v>2.14229550606477E-4</v>
      </c>
      <c r="D91">
        <v>0.9434184867598876</v>
      </c>
      <c r="E91">
        <f t="shared" si="6"/>
        <v>657.34623544698843</v>
      </c>
      <c r="F91">
        <f t="shared" si="7"/>
        <v>432104.07325632754</v>
      </c>
      <c r="G91">
        <f t="shared" si="8"/>
        <v>657.01891670463112</v>
      </c>
      <c r="H91">
        <f t="shared" si="9"/>
        <v>431673.85690772702</v>
      </c>
      <c r="I91">
        <f t="shared" si="10"/>
        <v>657.33904551208548</v>
      </c>
      <c r="J91">
        <f t="shared" si="11"/>
        <v>432094.62075473956</v>
      </c>
    </row>
    <row r="92" spans="1:10" x14ac:dyDescent="0.35">
      <c r="A92">
        <v>6.2064018801161902E-5</v>
      </c>
      <c r="B92">
        <v>3.1302930235000803E-2</v>
      </c>
      <c r="C92">
        <v>1.9590236006056301E-4</v>
      </c>
      <c r="D92">
        <v>7.0264882538155309</v>
      </c>
      <c r="E92">
        <f t="shared" si="6"/>
        <v>642.45417041840142</v>
      </c>
      <c r="F92">
        <f t="shared" si="7"/>
        <v>412747.3610879964</v>
      </c>
      <c r="G92">
        <f t="shared" si="8"/>
        <v>642.29155525815281</v>
      </c>
      <c r="H92">
        <f t="shared" si="9"/>
        <v>412538.44195593678</v>
      </c>
      <c r="I92">
        <f t="shared" si="10"/>
        <v>642.45061042535576</v>
      </c>
      <c r="J92">
        <f t="shared" si="11"/>
        <v>412742.78683591227</v>
      </c>
    </row>
    <row r="93" spans="1:10" x14ac:dyDescent="0.35">
      <c r="A93">
        <v>2.3552717782836799E-4</v>
      </c>
      <c r="B93">
        <v>5.9479957615413498E-2</v>
      </c>
      <c r="C93">
        <v>1.8075277706389601E-4</v>
      </c>
      <c r="D93">
        <v>663.93041295254363</v>
      </c>
      <c r="E93">
        <f t="shared" si="6"/>
        <v>655.75448673471283</v>
      </c>
      <c r="F93">
        <f t="shared" si="7"/>
        <v>430013.94687270664</v>
      </c>
      <c r="G93">
        <f t="shared" si="8"/>
        <v>655.44482892745941</v>
      </c>
      <c r="H93">
        <f t="shared" si="9"/>
        <v>429607.92376774654</v>
      </c>
      <c r="I93">
        <f t="shared" si="10"/>
        <v>655.74769490358813</v>
      </c>
      <c r="J93">
        <f t="shared" si="11"/>
        <v>430005.03937136929</v>
      </c>
    </row>
    <row r="94" spans="1:10" x14ac:dyDescent="0.35">
      <c r="A94">
        <v>3.3436037584191902E-4</v>
      </c>
      <c r="B94">
        <v>0.10863720641713601</v>
      </c>
      <c r="C94">
        <v>1.5948880239176799E-4</v>
      </c>
      <c r="D94">
        <v>3391.5744328079195</v>
      </c>
      <c r="E94">
        <f t="shared" si="6"/>
        <v>678.83230157385208</v>
      </c>
      <c r="F94">
        <f t="shared" si="7"/>
        <v>460813.29366005323</v>
      </c>
      <c r="G94">
        <f t="shared" si="8"/>
        <v>678.26748160741101</v>
      </c>
      <c r="H94">
        <f t="shared" si="9"/>
        <v>460046.77660605963</v>
      </c>
      <c r="I94">
        <f t="shared" si="10"/>
        <v>678.81989019584796</v>
      </c>
      <c r="J94">
        <f t="shared" si="11"/>
        <v>460796.44332550309</v>
      </c>
    </row>
    <row r="95" spans="1:10" x14ac:dyDescent="0.35">
      <c r="A95">
        <v>1.29109256733248E-4</v>
      </c>
      <c r="B95">
        <v>1.46597649976088E-2</v>
      </c>
      <c r="C95">
        <v>2.44725697088909E-4</v>
      </c>
      <c r="D95">
        <v>22.372389762560843</v>
      </c>
      <c r="E95">
        <f t="shared" si="6"/>
        <v>634.70041643702552</v>
      </c>
      <c r="F95">
        <f t="shared" si="7"/>
        <v>402844.61862533359</v>
      </c>
      <c r="G95">
        <f t="shared" si="8"/>
        <v>634.62348895523257</v>
      </c>
      <c r="H95">
        <f t="shared" si="9"/>
        <v>402746.97273371217</v>
      </c>
      <c r="I95">
        <f t="shared" si="10"/>
        <v>634.69875372686067</v>
      </c>
      <c r="J95">
        <f t="shared" si="11"/>
        <v>402842.50798243011</v>
      </c>
    </row>
    <row r="96" spans="1:10" x14ac:dyDescent="0.35">
      <c r="A96">
        <v>2.65155029278604E-4</v>
      </c>
      <c r="B96">
        <v>8.9742115745807094E-2</v>
      </c>
      <c r="C96">
        <v>1.3453018849583201E-4</v>
      </c>
      <c r="D96">
        <v>1661.794272025485</v>
      </c>
      <c r="E96">
        <f t="shared" si="6"/>
        <v>669.94415333066968</v>
      </c>
      <c r="F96">
        <f t="shared" si="7"/>
        <v>448825.16858194786</v>
      </c>
      <c r="G96">
        <f t="shared" si="8"/>
        <v>669.47764404364864</v>
      </c>
      <c r="H96">
        <f t="shared" si="9"/>
        <v>448200.31587423431</v>
      </c>
      <c r="I96">
        <f t="shared" si="10"/>
        <v>669.93390187560703</v>
      </c>
      <c r="J96">
        <f t="shared" si="11"/>
        <v>448811.43288227549</v>
      </c>
    </row>
    <row r="97" spans="1:10" x14ac:dyDescent="0.35">
      <c r="A97">
        <v>3.3014981104484799E-4</v>
      </c>
      <c r="B97">
        <v>0.16305359368490599</v>
      </c>
      <c r="C97">
        <v>1.8229866117525301E-4</v>
      </c>
      <c r="D97">
        <v>4576.2974410934021</v>
      </c>
      <c r="E97">
        <f t="shared" si="6"/>
        <v>704.30674770509347</v>
      </c>
      <c r="F97">
        <f t="shared" si="7"/>
        <v>496047.99486292619</v>
      </c>
      <c r="G97">
        <f t="shared" si="8"/>
        <v>703.46020039770838</v>
      </c>
      <c r="H97">
        <f t="shared" si="9"/>
        <v>494856.25354358403</v>
      </c>
      <c r="I97">
        <f t="shared" si="10"/>
        <v>704.28812979871327</v>
      </c>
      <c r="J97">
        <f t="shared" si="11"/>
        <v>496021.7697753692</v>
      </c>
    </row>
    <row r="98" spans="1:10" x14ac:dyDescent="0.35">
      <c r="A98">
        <v>2.2305406574861601E-4</v>
      </c>
      <c r="B98">
        <v>5.8600106533419703E-2</v>
      </c>
      <c r="C98">
        <v>1.3719094424755502E-4</v>
      </c>
      <c r="D98">
        <v>677.5918954417856</v>
      </c>
      <c r="E98">
        <f t="shared" si="6"/>
        <v>655.33713214453167</v>
      </c>
      <c r="F98">
        <f t="shared" si="7"/>
        <v>429466.75676741934</v>
      </c>
      <c r="G98">
        <f t="shared" si="8"/>
        <v>655.03214186159187</v>
      </c>
      <c r="H98">
        <f t="shared" si="9"/>
        <v>429067.10687178461</v>
      </c>
      <c r="I98">
        <f t="shared" si="10"/>
        <v>655.33043799042684</v>
      </c>
      <c r="J98">
        <f t="shared" si="11"/>
        <v>429457.98295672471</v>
      </c>
    </row>
    <row r="99" spans="1:10" x14ac:dyDescent="0.35">
      <c r="A99">
        <v>3.1623290849131701E-4</v>
      </c>
      <c r="B99">
        <v>3.3181443835227198E-2</v>
      </c>
      <c r="C99">
        <v>1.90607063491592E-4</v>
      </c>
      <c r="D99">
        <v>806.48088138028459</v>
      </c>
      <c r="E99">
        <f t="shared" si="6"/>
        <v>643.49046183694782</v>
      </c>
      <c r="F99">
        <f t="shared" si="7"/>
        <v>414079.9744751284</v>
      </c>
      <c r="G99">
        <f t="shared" si="8"/>
        <v>643.3164157368177</v>
      </c>
      <c r="H99">
        <f t="shared" si="9"/>
        <v>413856.01075646607</v>
      </c>
      <c r="I99">
        <f t="shared" si="10"/>
        <v>643.486664317345</v>
      </c>
      <c r="J99">
        <f t="shared" si="11"/>
        <v>414075.08715426346</v>
      </c>
    </row>
    <row r="100" spans="1:10" x14ac:dyDescent="0.35">
      <c r="A100">
        <v>2.8226290370205701E-5</v>
      </c>
      <c r="B100">
        <v>0.15086297510374599</v>
      </c>
      <c r="C100">
        <v>2.3158150141391401E-4</v>
      </c>
      <c r="D100">
        <v>2.7010399950597108</v>
      </c>
      <c r="E100">
        <f t="shared" si="6"/>
        <v>698.41053737171774</v>
      </c>
      <c r="F100">
        <f t="shared" si="7"/>
        <v>487777.27871185151</v>
      </c>
      <c r="G100">
        <f t="shared" si="8"/>
        <v>697.62910437101004</v>
      </c>
      <c r="H100">
        <f t="shared" si="9"/>
        <v>486686.36726549763</v>
      </c>
      <c r="I100">
        <f t="shared" si="10"/>
        <v>698.39334173884197</v>
      </c>
      <c r="J100">
        <f t="shared" si="11"/>
        <v>487753.25978514692</v>
      </c>
    </row>
    <row r="101" spans="1:10" x14ac:dyDescent="0.35">
      <c r="A101">
        <v>2.8248607050554902E-4</v>
      </c>
      <c r="B101">
        <v>4.2367243079405599E-2</v>
      </c>
      <c r="C101">
        <v>1.9659828434826198E-4</v>
      </c>
      <c r="D101">
        <v>739.17650137623764</v>
      </c>
      <c r="E101">
        <f t="shared" si="6"/>
        <v>647.77024443686503</v>
      </c>
      <c r="F101">
        <f t="shared" si="7"/>
        <v>419606.28957779589</v>
      </c>
      <c r="G101">
        <f t="shared" si="8"/>
        <v>647.54886180064022</v>
      </c>
      <c r="H101">
        <f t="shared" si="9"/>
        <v>419319.52841930464</v>
      </c>
      <c r="I101">
        <f t="shared" si="10"/>
        <v>647.76540236116432</v>
      </c>
      <c r="J101">
        <f t="shared" si="11"/>
        <v>419600.01649612113</v>
      </c>
    </row>
    <row r="102" spans="1:10" x14ac:dyDescent="0.35">
      <c r="D102" s="15" t="s">
        <v>7</v>
      </c>
      <c r="E102" s="14" t="s">
        <v>8</v>
      </c>
      <c r="F102" s="14"/>
      <c r="G102" s="14" t="s">
        <v>9</v>
      </c>
      <c r="H102" s="14"/>
      <c r="I102" s="14" t="s">
        <v>10</v>
      </c>
      <c r="J102" s="14"/>
    </row>
    <row r="103" spans="1:10" x14ac:dyDescent="0.35">
      <c r="D103" s="16"/>
      <c r="E103" s="4" t="s">
        <v>5</v>
      </c>
      <c r="F103" s="4" t="s">
        <v>6</v>
      </c>
      <c r="G103" s="4" t="s">
        <v>5</v>
      </c>
      <c r="H103" s="4" t="s">
        <v>6</v>
      </c>
      <c r="I103" s="4" t="s">
        <v>5</v>
      </c>
      <c r="J103" s="4" t="s">
        <v>6</v>
      </c>
    </row>
    <row r="104" spans="1:10" x14ac:dyDescent="0.35">
      <c r="A104" s="14" t="s">
        <v>15</v>
      </c>
      <c r="B104" s="14"/>
      <c r="C104" s="14"/>
      <c r="D104" s="6" t="s">
        <v>14</v>
      </c>
      <c r="E104" s="6" t="s">
        <v>11</v>
      </c>
      <c r="F104" s="6" t="s">
        <v>13</v>
      </c>
      <c r="G104" s="6" t="s">
        <v>11</v>
      </c>
      <c r="H104" s="6" t="s">
        <v>12</v>
      </c>
      <c r="I104" s="6" t="s">
        <v>11</v>
      </c>
      <c r="J104" s="6" t="s">
        <v>12</v>
      </c>
    </row>
    <row r="105" spans="1:10" x14ac:dyDescent="0.35">
      <c r="A105" s="14"/>
      <c r="B105" s="14"/>
      <c r="C105" s="14"/>
      <c r="D105" s="2">
        <v>129315983.08454999</v>
      </c>
      <c r="E105" s="2">
        <f>SUM(F2:F101)</f>
        <v>44409014.568062954</v>
      </c>
      <c r="F105" s="2">
        <f>D105-E105</f>
        <v>84906968.516487032</v>
      </c>
      <c r="G105" s="2">
        <f>SUM(H2:H101)</f>
        <v>44351438.456437156</v>
      </c>
      <c r="H105" s="2">
        <f>D105-G105</f>
        <v>84964544.628112838</v>
      </c>
      <c r="I105" s="2">
        <f>SUM(J2:J101)</f>
        <v>44407749.258118488</v>
      </c>
      <c r="J105" s="2">
        <f>D105-I105</f>
        <v>84908233.826431513</v>
      </c>
    </row>
    <row r="106" spans="1:10" x14ac:dyDescent="0.35">
      <c r="A106" s="14" t="s">
        <v>4</v>
      </c>
      <c r="B106" s="14"/>
      <c r="C106" s="14"/>
      <c r="D106" s="2">
        <v>100</v>
      </c>
      <c r="E106" s="2">
        <v>4</v>
      </c>
      <c r="F106" s="2">
        <v>96</v>
      </c>
      <c r="G106" s="2">
        <v>4</v>
      </c>
      <c r="H106" s="2">
        <v>96</v>
      </c>
      <c r="I106" s="2">
        <v>4</v>
      </c>
      <c r="J106" s="2">
        <v>96</v>
      </c>
    </row>
    <row r="107" spans="1:10" x14ac:dyDescent="0.35">
      <c r="A107" s="14" t="s">
        <v>16</v>
      </c>
      <c r="B107" s="14"/>
      <c r="C107" s="14"/>
      <c r="D107" s="5"/>
      <c r="E107" s="2">
        <f>E105/E106</f>
        <v>11102253.642015738</v>
      </c>
      <c r="F107" s="2">
        <f>F105/F106</f>
        <v>884447.58871340659</v>
      </c>
      <c r="G107" s="2">
        <f t="shared" ref="G107:I107" si="12">G105/G106</f>
        <v>11087859.614109289</v>
      </c>
      <c r="H107" s="2">
        <f t="shared" si="12"/>
        <v>885047.33987617539</v>
      </c>
      <c r="I107" s="2">
        <f t="shared" si="12"/>
        <v>11101937.314529622</v>
      </c>
      <c r="J107" s="2">
        <f>J105/J106</f>
        <v>884460.76902532822</v>
      </c>
    </row>
    <row r="108" spans="1:10" x14ac:dyDescent="0.35">
      <c r="A108" s="14" t="s">
        <v>17</v>
      </c>
      <c r="B108" s="14"/>
      <c r="C108" s="14"/>
      <c r="E108" s="7">
        <f>E107/F107</f>
        <v>12.552754717965854</v>
      </c>
      <c r="F108" s="7"/>
      <c r="G108" s="7">
        <f>G107/H107</f>
        <v>12.527984791932781</v>
      </c>
      <c r="H108" s="7"/>
      <c r="I108" s="7">
        <f>I107/J107</f>
        <v>12.552210005610432</v>
      </c>
      <c r="J108" s="7"/>
    </row>
    <row r="109" spans="1:10" x14ac:dyDescent="0.35">
      <c r="A109" s="9" t="s">
        <v>18</v>
      </c>
      <c r="B109" s="9"/>
      <c r="C109" s="9"/>
      <c r="E109" s="10">
        <f>_xlfn.F.INV.RT(0.05, 4, 100)</f>
        <v>2.4626149259116423</v>
      </c>
      <c r="F109" s="10"/>
      <c r="G109" s="10"/>
      <c r="H109" s="10"/>
      <c r="I109" s="10"/>
      <c r="J109" s="10"/>
    </row>
    <row r="110" spans="1:10" x14ac:dyDescent="0.35">
      <c r="A110" s="11" t="s">
        <v>3</v>
      </c>
      <c r="B110" s="12"/>
      <c r="C110" s="13"/>
      <c r="E110" s="8">
        <v>0.34341473891148749</v>
      </c>
      <c r="F110" s="8"/>
      <c r="G110" s="8">
        <v>0.34296950306165325</v>
      </c>
      <c r="H110" s="8"/>
      <c r="I110" s="8">
        <v>0.34340495427455175</v>
      </c>
      <c r="J110" s="8"/>
    </row>
    <row r="118" spans="1:8" x14ac:dyDescent="0.35">
      <c r="A118" s="3"/>
      <c r="B118" s="3"/>
      <c r="D118" s="3"/>
      <c r="E118" s="3"/>
      <c r="F118" s="3"/>
      <c r="G118" s="3"/>
      <c r="H118" s="3"/>
    </row>
  </sheetData>
  <mergeCells count="17">
    <mergeCell ref="I102:J102"/>
    <mergeCell ref="A104:C105"/>
    <mergeCell ref="A106:C106"/>
    <mergeCell ref="A107:C107"/>
    <mergeCell ref="D102:D103"/>
    <mergeCell ref="E102:F102"/>
    <mergeCell ref="G102:H102"/>
    <mergeCell ref="I108:J108"/>
    <mergeCell ref="E110:F110"/>
    <mergeCell ref="G110:H110"/>
    <mergeCell ref="I110:J110"/>
    <mergeCell ref="A109:C109"/>
    <mergeCell ref="E109:J109"/>
    <mergeCell ref="A110:C110"/>
    <mergeCell ref="A108:C108"/>
    <mergeCell ref="E108:F108"/>
    <mergeCell ref="G108:H1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Nair, Sudeep Sureshkumar</dc:creator>
  <cp:lastModifiedBy>Nair, Sudeep Sureshkumar</cp:lastModifiedBy>
  <dcterms:created xsi:type="dcterms:W3CDTF">2024-11-15T20:34:23Z</dcterms:created>
  <dcterms:modified xsi:type="dcterms:W3CDTF">2024-12-07T03:06:47Z</dcterms:modified>
</cp:coreProperties>
</file>